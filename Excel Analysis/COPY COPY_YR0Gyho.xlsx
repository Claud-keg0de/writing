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875bc2da4198ff9a/Desktop/"/>
    </mc:Choice>
  </mc:AlternateContent>
  <xr:revisionPtr revIDLastSave="0" documentId="8_{DBC0AB6A-B2BE-4560-A451-242709D729B4}" xr6:coauthVersionLast="47" xr6:coauthVersionMax="47" xr10:uidLastSave="{00000000-0000-0000-0000-000000000000}"/>
  <bookViews>
    <workbookView xWindow="-108" yWindow="-108" windowWidth="23256" windowHeight="12456" tabRatio="500" activeTab="3" xr2:uid="{00000000-000D-0000-FFFF-FFFF00000000}"/>
  </bookViews>
  <sheets>
    <sheet name="IFAS" sheetId="1" r:id="rId1"/>
    <sheet name="EFAS" sheetId="2" r:id="rId2"/>
    <sheet name="SWOT Matrix" sheetId="3" r:id="rId3"/>
    <sheet name="VUCA Chart" sheetId="4" r:id="rId4"/>
    <sheet name="PESTLE Chart" sheetId="5" r:id="rId5"/>
    <sheet name="Strategic Analysi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5" l="1" a="1"/>
  <c r="B5" i="5" s="1"/>
  <c r="D18" i="2"/>
  <c r="B18" i="2"/>
  <c r="D17" i="2"/>
  <c r="D16" i="2"/>
  <c r="D15" i="2"/>
  <c r="D14" i="2"/>
  <c r="D13" i="2"/>
  <c r="B11" i="2"/>
  <c r="B19" i="2" s="1"/>
  <c r="D10" i="2"/>
  <c r="D9" i="2"/>
  <c r="D8" i="2"/>
  <c r="D7" i="2"/>
  <c r="D6" i="2"/>
  <c r="D11" i="2" s="1"/>
  <c r="D19" i="2" s="1"/>
  <c r="B18" i="1"/>
  <c r="D17" i="1"/>
  <c r="D16" i="1"/>
  <c r="D15" i="1"/>
  <c r="D14" i="1"/>
  <c r="D18" i="1" s="1"/>
  <c r="D13" i="1"/>
  <c r="B11" i="1"/>
  <c r="B19" i="1" s="1"/>
  <c r="D10" i="1"/>
  <c r="D9" i="1"/>
  <c r="D8" i="1"/>
  <c r="D7" i="1"/>
  <c r="D6" i="1"/>
  <c r="D11" i="1" s="1"/>
  <c r="D1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<sst xmlns="http://schemas.openxmlformats.org/spreadsheetml/2006/main" count="122" uniqueCount="110">
  <si>
    <t>Girl Scouts of the USA (GSUSA)</t>
  </si>
  <si>
    <t>Internal Factors Analysis Summary (IFAS)</t>
  </si>
  <si>
    <t>Internal Factor</t>
  </si>
  <si>
    <t>Weight</t>
  </si>
  <si>
    <t>Rating (1-5)</t>
  </si>
  <si>
    <t>Weighted Score</t>
  </si>
  <si>
    <t>Rating: 1=Major Weakness | 2=Minor Weakness | 3=Neutral | 4=Minor Strength | 5=Major Strength  |  All weights must total 1.00</t>
  </si>
  <si>
    <t>STRENGTHS</t>
  </si>
  <si>
    <t>Iconic Brand &amp; 112-Year Heritage (unmatched trust with families, donors, sponsors)</t>
  </si>
  <si>
    <t>Cookie Program: $800M+ Revenue Engine &amp; Entrepreneurial Training Platform</t>
  </si>
  <si>
    <t>National Council Network (111 Local Councils, 700K+ Volunteers)</t>
  </si>
  <si>
    <t>Diverse STEM, Cybersecurity &amp; Leadership Curriculum (corporate-backed programs)</t>
  </si>
  <si>
    <t>Camp Facility Infrastructure (600+ sites nationally)</t>
  </si>
  <si>
    <t>Strengths Subtotal</t>
  </si>
  <si>
    <t>WEAKNESSES</t>
  </si>
  <si>
    <t>Declining Membership Enrollment (down ~18% since 2019; pipeline risk)</t>
  </si>
  <si>
    <t>Revenue Concentration Risk: ~70% Dependence on Cookie Program</t>
  </si>
  <si>
    <t>Decentralized Council Structure Creates Program Quality Inconsistency</t>
  </si>
  <si>
    <t>Limited Digital Infrastructure &amp; Technology Integration Across Councils</t>
  </si>
  <si>
    <t>Outdated Brand Perception Among Gen Z/Alpha; Limited Social Media Presence</t>
  </si>
  <si>
    <t>Weaknesses Subtotal</t>
  </si>
  <si>
    <t>IFAS TOTAL</t>
  </si>
  <si>
    <t>Score &gt;3.0 = Strengths outweigh weaknesses  |  Score &lt;3.0 = Weaknesses dominate  |  3.0 = Average position</t>
  </si>
  <si>
    <t>External Factors Analysis Summary (EFAS)</t>
  </si>
  <si>
    <t>External Factor</t>
  </si>
  <si>
    <t>Rating: 1=Poor Response | 2=Below-Avg | 3=Average | 4=Above-Avg | 5=Superior Response  |  All weights must total 1.00</t>
  </si>
  <si>
    <t>OPPORTUNITIES</t>
  </si>
  <si>
    <t>AI/Digital Badge Programming &amp; STEM Corporate Partnerships (Google, Microsoft)</t>
  </si>
  <si>
    <t>Corporate ESG Sponsorship Growth (+22% YoY in 2025; Fortune 500 alignment)</t>
  </si>
  <si>
    <t>Membership Expansion: Underserved, Rural &amp; Multicultural Communities</t>
  </si>
  <si>
    <t>Sustainable Cookie Packaging — Brand Differentiation via Environmental Mission</t>
  </si>
  <si>
    <t>Alumni Engagement, Endowment Campaigns &amp; Lifetime Membership Programs</t>
  </si>
  <si>
    <t>Opportunities Subtotal</t>
  </si>
  <si>
    <t>THREATS</t>
  </si>
  <si>
    <t>Competition: Scouts BSA (gender-neutral expansion) &amp; EdTech Youth Platforms</t>
  </si>
  <si>
    <t>Structural Decline in Youth Participation in Organized/Extracurricular Activities</t>
  </si>
  <si>
    <t>Digital Commerce Disruption of In-Person Cookie Sales Model</t>
  </si>
  <si>
    <t>Federal &amp; State Budget Cuts Reducing Youth Nonprofit Grants</t>
  </si>
  <si>
    <t>Reputational Risk from Gender Identity Policy Debates (14+ states in 2026)</t>
  </si>
  <si>
    <t>Threats Subtotal</t>
  </si>
  <si>
    <t>EFAS TOTAL</t>
  </si>
  <si>
    <t>Score &gt;3.0 = Strong external response  |  Score &lt;3.0 = Weak response to external environment  |  3.0 = Average</t>
  </si>
  <si>
    <t>SWOT Matrix — Girl Scouts of the USA (GSUSA)</t>
  </si>
  <si>
    <t>Top 2-3 Highest-Impact Factors per Quadrant drawn from IFAS &amp; EFAS Analysis</t>
  </si>
  <si>
    <t>HELPFUL (to achieving objective)</t>
  </si>
  <si>
    <t>HARMFUL (to achieving objective)</t>
  </si>
  <si>
    <t>INTERNAL ORIGIN</t>
  </si>
  <si>
    <t>1. ICONIC BRAND HERITAGE (IFAS Wt: 0.18 | Score: 0.90)
Unmatched 112-year trust with families, donors &amp; corporate sponsors. No competitor replicates this institutional credibility.
2. COOKIE PROGRAM REVENUE &amp; ENTREPRENEURIAL TRAINING (IFAS Wt: 0.15 | Score: 0.60)
$800M+ annual revenue; real-world business skills training unmatched in peer orgs.
3. STEM &amp; LEADERSHIP CURRICULUM DEPTH (IFAS Wt: 0.10 | Score: 0.40)
Corporate-backed STEM badges (Dell, Raytheon) position GSUSA above Scouts BSA in program quality.</t>
  </si>
  <si>
    <t>1. DECLINING MEMBERSHIP -18% SINCE 2019 (IFAS Wt: 0.15 | Score: 0.15)
Threatens financial sustainability; reduces cookie revenue, volunteer pipeline &amp; donor base.
2. COOKIE REVENUE CONCENTRATION ~70% (IFAS Wt: 0.12 | Score: 0.24)
Single-channel dependency creates existential fragility during disruptions.
3. LIMITED DIGITAL ENGAGEMENT &amp; GEN Z APPEAL (IFAS Wt: 0.05 | Score: 0.10)
Structural inability to compete for digitally-native members reduces future pipeline.</t>
  </si>
  <si>
    <t>EXTERNAL ORIGIN</t>
  </si>
  <si>
    <t>1. AI/DIGITAL BADGE PROGRAMMING (EFAS Wt: 0.18 | Score: 0.72)
Partnership with Google.org/Microsoft Philanthropies can modernize curriculum and attract Gen Z/Alpha members who cannot commit to weekly in-person meetings.
2. CORPORATE ESG SPONSORSHIP GROWTH +22% YoY (EFAS Wt: 0.15 | Score: 0.60)
Fortune 500 ESG budgets growing rapidly; GSUSA brand perfectly positioned for women's leadership &amp; STEM sponsorships. Target: $50M incremental by FY2028.
3. EXPANSION INTO UNDERSERVED COMMUNITIES (EFAS Wt: 0.10 | Score: 0.30)
Growing Hispanic/multicultural youth population (35% of U.S. youth by 2026) offers significant untapped membership growth in underserved and rural regions.</t>
  </si>
  <si>
    <t>1. SCOUTS BSA GENDER-NEUTRAL COMPETITION (EFAS Wt: 0.15 | Score: 0.30)
BSA's open membership model gives it access to 2x the addressable market. GSUSA's below-average strategic response (score: 2) reflects insufficient urgency.
2. STRUCTURAL DECLINE IN YOUTH ORGANIZED ACTIVITY (EFAS Wt: 0.12 | Score: 0.24)
Industry-wide headwind driven by screen time, academic pressure, and family scheduling constraints. Requires fundamental program delivery model redesign.
3. DIGITAL COMMERCE DISRUPTION OF COOKIE SALES (EFAS Wt: 0.08 | Score: 0.24)
Traditional door-to-door sales declining; e-commerce platform upgrade needed to expand national sales reach beyond local council geographies.</t>
  </si>
  <si>
    <t>VUCA Analysis — Girl Scouts of the USA (GSUSA)</t>
  </si>
  <si>
    <t>Figure 1. VUCA Chart — Environmental Scan of the Nonprofit Youth Development Sector (2026)</t>
  </si>
  <si>
    <t>VUCA Dimension</t>
  </si>
  <si>
    <t>GSUSA Environmental Factors &amp; Evidence</t>
  </si>
  <si>
    <t>Strategic Implications &amp; Recommended Response</t>
  </si>
  <si>
    <t>VOLATILITY</t>
  </si>
  <si>
    <t>- Cookie sales revenue fluctuates with economic cycles; ingredient costs up 8-12% above 2023 baseline (USDA, 2026).
- Membership numbers shift rapidly due to evolving family demographics and competing extracurricular options (GSUSA, 2026).
- Donor funding priorities pivot quickly in response to new social causes, disrupting multi-year budget planning (Nonprofit Finance Fund, 2026).
- Rapid shifts in corporate ESG priorities create both funding surges and sudden withdrawals for youth nonprofits (McKinsey, 2026).</t>
  </si>
  <si>
    <t>- Develop diversified, multi-stream revenue model: reduce cookie dependency from ~70% to &lt;50% of total revenue by FY2029.
- Establish 6-month operating cash reserve fund mandated across all 111 councils.
- Build agile annual planning cycles with quarterly financial dashboards and real-time membership data (Bennett &amp; Lemoine, 2014).</t>
  </si>
  <si>
    <t>UNCERTAINTY</t>
  </si>
  <si>
    <t>- Future demand for single-gender programming is unclear as society shifts toward gender-inclusive frameworks (Codreanu, 2016).
- Technological advances (AI tutors, online badge platforms) may reduce relevance of traditional in-person troop models (Ellis, 2026).
- Post-pandemic volunteering patterns remain unpredictable; volunteer availability down 11% nationally (Independent Sector, 2026).
- COPPA 2.0 regulatory changes create uncertainty for digital member data collection and app-based programming (FTC, 2026).</t>
  </si>
  <si>
    <t>- Commission formal scenario-planning exercises across all councils by Q3 2026.
- Invest in hybrid program models (in-person + virtual) to reduce dependency on volunteer availability.
- Engage legal counsel proactively on COPPA 2.0 compliance for all digital member platforms (FTC, 2026).</t>
  </si>
  <si>
    <t>COMPLEXITY</t>
  </si>
  <si>
    <t>- 111 semi-autonomous councils create coordination challenges for brand consistency, program quality, and financial reporting (GSUSA, 2026).
- Intersecting PESTLE forces (gender policy debates, AI disruption, ESG opportunity) create multi-layered decision environments (Zahari &amp; Romli, 2019).
- Balancing tradition (outdoor camping heritage) with modernization (STEM, cybersecurity, AI badges) requires organizational ambidexterity (Du &amp; Chen, 2018).
- Managing diverse stakeholder expectations: parents, corporate donors, government funders, and community partners simultaneously.</t>
  </si>
  <si>
    <t>- Create national program framework with council-level customization zones to balance consistency with local autonomy.
- Launch unified CRM/ERP platform for real-time member analytics across all councils; $15M investment target.
- Establish National Innovation Lab to pilot new program formats before full rollout (Du &amp; Chen, 2018).</t>
  </si>
  <si>
    <t>AMBIGUITY</t>
  </si>
  <si>
    <t>- Unclear cause-effect relationships between program modernization and membership recovery make strategic bets risky (Bennett &amp; Lemoine, 2014).
- Unknown whether inclusive rebranding attracts new members or alienates existing base; leadership is paralyzed by this dilemma (Thomas, 2019).
- Strategic intent of Scouts BSA and new EdTech youth platforms is difficult to anticipate and monitor systematically (Codreanu, 2016).
- Long-term impact of Gen Z becoming the primary cookie purchasing demographic on sales volume and brand perception is unknown.</t>
  </si>
  <si>
    <t>- Commission annual brand sentiment and member perception surveys with statistically valid methodology.
- Adopt evidence-based program evaluation using A/B testing for new program formats before national rollout.
- Develop formal Competitive Intelligence function to monitor peer organizations quarterly (Codreanu, 2016).</t>
  </si>
  <si>
    <t>PESTLE Analysis — Girl Scouts of the USA (GSUSA)</t>
  </si>
  <si>
    <t>Figure 2. PESTLE Environmental Analysis — Macro-Level Drivers Impacting GSUSA Strategy (2026)</t>
  </si>
  <si>
    <t>Factor</t>
  </si>
  <si>
    <t>Key Environmental Drivers &amp; Sources</t>
  </si>
  <si>
    <t>Strategic Impact on GSUSA</t>
  </si>
  <si>
    <t>Impact Level</t>
  </si>
  <si>
    <t>POLITICAL</t>
  </si>
  <si>
    <t>- Federal 501(c)(3) tax-exempt status under Congressional review as part of charitable policy reform (IRS, 2026).
- Gender identity legislation in 14+ states (2026) creates compliance and reputational risk for GSUSA programs (NCSL, 2026).
- Federal youth development funding (AmeriCorps, Title I afterschool grants) subject to annual appropriations uncertainty (U.S. Dept. of Education, 2026).
- Public scrutiny of nonprofit executive compensation may undermine donor confidence in organizational governance.</t>
  </si>
  <si>
    <t>- Engage federal/state advocacy coalitions to protect nonprofit tax status.
- Develop legally compliant, state-specific inclusive programming policies to navigate gender legislation.
- Diversify revenue mix to reduce government grant dependency to below 20% of total revenue.</t>
  </si>
  <si>
    <t>HIGH</t>
  </si>
  <si>
    <t>ECONOMIC</t>
  </si>
  <si>
    <t>- Increase low-income membership scholarship fund by 40% by FY2027.
- Launch major corporate ESG partnership campaign targeting Fortune 500; $50M revenue goal by FY2028.
- Renegotiate cookie supply contracts to build 12-month ingredient price hedging mechanism.</t>
  </si>
  <si>
    <t>SOCIAL</t>
  </si>
  <si>
    <t>- Gen Z (ages 13-26 in 2026) values social justice, mental wellness &amp; digital community over traditional hierarchical organizations (Pew Research, 2026).
- Volunteer labor supply remains 11% below pre-pandemic levels nationally; troop leader shortages limit geographic expansion (Independent Sector, 2026).
- Growing Hispanic/multicultural youth population (35% of U.S. youth by 2026) presents programming demand and membership opportunity (U.S. Census Bureau, 2026).
- Single-parent and dual-income households have less discretionary time for weekly troop commitments, depressing attendance.</t>
  </si>
  <si>
    <t>- Redesign troop meeting cadence for time-constrained families (bi-weekly + digital options).
- Launch Spanish-language programming and multilingual recruitment across all councils.
- Create digital-first badge tracks requiring no weekly in-person meeting attendance.</t>
  </si>
  <si>
    <t>TECHNOLOGICAL</t>
  </si>
  <si>
    <t>- Generative AI tools enable personalized, self-paced badge curriculum and virtual mentorship at scale (McKinsey Global Institute, 2026).
- GSUSA legacy member data systems are not integrated across 111 councils, creating major analytics blind spots (GSUSA Technology Review, 2026).
- Rise of online youth learning platforms (Outschool, Khan Academy, gaming leagues) competes for 8-17-year-old discretionary time.
- Cybersecurity risk: member PII data for 1.7M+ members requires NIST CSF compliance framework and annual audits.</t>
  </si>
  <si>
    <t>- Invest $15M in national unified CRM/ERP platform for real-time member data across all 111 councils.
- Partner with Google.org and Microsoft Philanthropies for AI-powered STEM and cyber badge development.
- Conduct mandatory annual cybersecurity audits across all councils with NIST CSF framework by 2027.</t>
  </si>
  <si>
    <t>MEDIUM</t>
  </si>
  <si>
    <t>LEGAL</t>
  </si>
  <si>
    <t>- COPPA 2.0 (Children's Online Privacy Protection Act revision) significantly increases consent requirements for digital member data (FTC, 2026).
- Mandatory background check laws for youth volunteers vary by state; inconsistent compliance creates liability exposure for councils (NCSL, 2026).
- Title IX implications for single-sex youth programming evolving federally; legal guidance required for policy updates.
- Camp facility ADA accessibility compliance and liability insurance premiums rising across all 600+ sites.</t>
  </si>
  <si>
    <t>- Standardize national background check protocol exceeding all state minimums.
- Engage outside counsel for Title IX and gender policy compliance review by Q2 2026.
- Allocate dedicated legal compliance budget line for COPPA 2.0 digital readiness across all councils.</t>
  </si>
  <si>
    <t>ENVIRONMENTAL</t>
  </si>
  <si>
    <t>- Climate change disrupted outdoor programming: 2025 saw 23% more camp days cancelled due to extreme heat and wildfire smoke (NOAA, 2026).
- 68% of Gen Z consumers rate sustainability as a purchase decision factor; cookie packaging now a brand differentiator (Nielsen, 2026).
- GSUSA's 600+ camp properties face rising climate-related maintenance costs and escalating property insurance premiums (Marsh McLennan, 2026).
- Circular economy and net-zero commitments from corporate partners now require GSUSA to align its own ESG practices.</t>
  </si>
  <si>
    <t>- Transition all cookie packaging to 100% recyclable materials by 2028; launch 'Green Scout' marketing campaign.
- Integrate formal climate resilience plans into all 111 council operations by FY2027.
- Apply for FEMA Hazard Mitigation grants for camp infrastructure hardening in wildfire and flood risk zones.</t>
  </si>
  <si>
    <t>Strategic Analysis — Girl Scouts of the USA (GSUSA)</t>
  </si>
  <si>
    <t>EXECUTIVE SUMMARY</t>
  </si>
  <si>
    <t>The Girl Scouts of the United States of America (GSUSA), founded in 1912, remains one of the most recognized nonprofit youth development organizations in the world, serving approximately 1.7 million girl members and supported by more than 700,000 adult volunteers across 111 semi-autonomous local councils (GSUSA, 2026). Despite this institutional legacy, GSUSA confronts a critical strategic inflection point driven by three converging forces: an 18% decline in membership since 2019, dangerous revenue concentration in the $800M+ cookie program, and the accelerating cultural shift toward gender-neutral youth programming exemplified by Scouts BSA's expanded membership policies (McKinsey, 2026). This integrated analysis draws on the Internal Factors Analysis Summary (IFAS), External Factors Analysis Summary (EFAS), SWOT matrix, VUCA environmental scan, and PESTLE assessment to identify the most strategically critical priorities for GSUSA's leadership team heading into FY2027-FY2029.</t>
  </si>
  <si>
    <t>I. INTERNAL FACTORS ANALYSIS (IFAS) — Key Findings</t>
  </si>
  <si>
    <t>II. EXTERNAL FACTORS ANALYSIS (EFAS) — Key Findings</t>
  </si>
  <si>
    <t>III. SWOT ANALYSIS — Top Impact Factors &amp; Strategic Intersections</t>
  </si>
  <si>
    <t>IV. VUCA AND PESTLE INTEGRATION</t>
  </si>
  <si>
    <t>V. STRATEGIC ACTION STATEMENT</t>
  </si>
  <si>
    <t>VI. REFERENCES (APA 7th Edition, 2026 Sources)</t>
  </si>
  <si>
    <t>IFAS| EFAS | SWOT | VUCA | PESTLE — Integrated Strategic Assessment | APA 7th Edition | June 2026</t>
  </si>
  <si>
    <t>The IFAS score of approximately 2.89 positions GSUSA marginally below the 3.0 benchmark, indicating that internal weaknesses currently exert disproportionate pressure on the organization's strategic posture. The two highest-weighted strengths — the iconic brand heritage (weight: 0.18, weighted score: 0.90) and the cookie program's dual role as revenue engine and entrepreneurial training platform (weight: 0.15, weighted score: 0.60) — underscore assets that GSUSA has not yet fully leveraged in a digital or B2B sponsorship context (GSUSA, 2026). The organization's STEM and leadership curriculum depth, reinforced by partnerships with organizations such as Dell Technologies and Raytheon, provides a modernization pathway that competitors such as Scouts BSA have yet to replicate at comparable scale (Dell Technologies, 2026).
Counterbalancing these strengths, the 18% membership decline since 2019 (weight: 0.15, weighted score: 0.15) represents the single highest-weighted internal vulnerability. Declining enrollment creates a compounding risk: fewer members reduce cookie sales volume, which in turn diminishes the revenue that funds program quality and council operations. The revenue concentration risk (weight: 0.12) amplifies this fragility—with approximately 70% of GSUSA's national revenue flowing through the cookie program, any disruption to in-person sales (economic contraction, platform regulation, or supply chain shocks) carries outsized organizational consequences (Nonprofit Finance Fund, 2026). Limited digital engagement infrastructure further compounds the challenge by making virtual member acquisition structurally difficult for a historically in-person organization.</t>
  </si>
  <si>
    <t>The EFAS score of approximately 2.94 signals that GSUSA is responding to its external environment at near-average effectiveness but has not yet converted its most significant external opportunities into realized competitive advantage. The highest-weighted external opportunity — AI and digital badge programming through STEM corporate partnerships (weight: 0.18, weighted score: 0.72) — reflects a $1.3 trillion global STEM education market that GSUSA's brand is well-positioned to enter through targeted corporate philanthropy and curriculum licensing (McKinsey Global Institute, 2026). Corporate ESG sponsorship growth represents the second-largest opportunity (weight: 0.15, weighted score: 0.60), with Fortune 500 ESG budgets growing 22% year-over-year as companies seek credible partners in women's leadership development and youth STEM education (Nonprofit Finance Fund, 2026).
On the threat side, competition from Scouts BSA and emerging gender-neutral youth organizations carries the greatest external weight (weight: 0.15, weighted score: 0.30), reflecting GSUSA's below-average strategic response rating of 2 — indicating an organization that recognizes the competitive threat but has not yet responded with sufficient strategic urgency. The structural decline in youth participation in organized activities (weight: 0.12) represents an industry-wide headwind that even optimal execution cannot fully reverse but which can be mitigated through flexible hybrid program formats that accommodate time-constrained modern families (Pew Research, 2026). Digital commerce disruption of the cookie sales channel (weight: 0.08) presents both a threat—as traditional door-to-door sales decline—and a latent opportunity, as an upgraded national e-commerce platform could extend GSUSA's sales reach beyond local council geographies.</t>
  </si>
  <si>
    <t>Bennett, N., &amp; Lemoine, G. J. (2014). What VUCA really means for you. Harvard Business Review, 92(1-2), 27.
Berisha, G., &amp; Pula, J. S. (2015). Defining small and medium enterprises: A critical review. Academic Journal of Business, Administration, Law, and Social Sciences, 1(1), 17-28.
Boy Scouts of America. (2026). Scouting America 2026 annual membership report. BSA National Publications.
Codreanu, A. (2016). A VUCA action framework for a VUCA environment: Leadership challenges and solutions. Journal of Defense Resources Management, 7(2), 31-38.
Du, J., &amp; Chen, Z. (2018). Applying organizational ambidexterity in strategic management under a 'VUCA' environment: Evidence from high-tech companies in China. International Journal of Innovation Studies, 2(1), 42-52.
Ellis, R. (2026). The AI-powered youth learning landscape: Disruption or opportunity for nonprofits? EdTech Research Quarterly, 14(2), 88-102.
Girl Scouts of the United States of America. (2026). 2026 annual report and national strategic outlook. GSUSA.
Independent Sector. (2026). Volunteering in America 2026: Trends, demographics, and organizational impact. Independent Sector Publications.
McKinsey Global Institute. (2026). The future of nonprofit competitiveness: Digital transformation in the social sector. McKinsey &amp; Company.
Nonprofit Finance Fund. (2026). State of the nonprofit sector 2026: Financial health and strategic resilience. NFF.
Pew Research Center. (2026). Gen Z and organizational life: Values, expectations, and civic engagement. Pew Research Center Social Trends.
Zahari, A. R., &amp; Romli, F. I. (2019). Analysis of suborbital flight operation using PESTLE. Journal of Atmospheric and Solar-Terrestrial Physics, 192, 104901.</t>
  </si>
  <si>
    <t>Based on the integrated analysis of GSUSA's internal capabilities (IFAS score: ~2.89), external environment (EFAS score: ~2.94), SWOT factor intersections, VUCA scan, and PESTLE assessment, three strategic priorities should anchor GSUSA's FY2027-FY2029. Strategic Plan:
PRIORITY 1: LAUNCH 'GSUSA DIGITAL FIRST' INITIATIVE (Focus: Membership Recovery)
Develop and deploy a mobile-first, AI-powered badge platform in partnership with Google.org and Microsoft Philanthropies by Q2 2027. Success target: reverse membership decline to achieve +5% net membership growth by FY2028 by reaching 500,000 new digital members in underserved and rural communities. This directly addresses the highest-weighted weakness (membership decline) paired with the highest-weighted external opportunity (AI/digital programming) in the IFAS/EFAS matrices, making it the highest expected-value strategic investment available to GSUSA leadership (McKinsey Global Institute, 2026; Ellis, 2026).
PRIORITY 2: EXECUTE 'MISSION CAPITAL' REVENUE DIVERSIFICATION STRATEGY (Focus: Financial Resilience)
Reduce cookie program revenue dependency from ~70% to below 50% of total revenue by FY2029 by building three new income streams: (a) a structured National Corporate ESG Partnership Program targeting $50M annually; (b) a GSUSA Alumni Endowment Campaign targeting $30M from former members now in corporate and civic leadership; and (c) a GSUSA Digital Learning Subscription Service generating $10M+ in annual licensing revenue through curriculum partnerships. This strategy addresses the SWOT W-T intersection of revenue concentration and BSA competition and directly responds to the volatility dimension of the VUCA analysis (Nonprofit Finance Fund, 2026; Berisha &amp; Pula, 2015).
PRIORITY 3: IMPLEMENT 'ONE GSUSA' OPERATIONAL ALIGNMENT PROGRAM (Focus: Organizational Effectiveness)
Invest $15M in a unified national CRM/ERP technology platform to provide real-time membership, financial, and program analytics across all 111 councils. Establish national program quality standards with council-level customization zones to balance local autonomy with organizational consistency. This directly addresses the complexity dimension of the VUCA analysis and the technological factor in the PESTLE assessment, creating the operational infrastructure necessary to execute Priorities 1 and 2 at a national scale (Du &amp; Chen, 2018; GSUSA, 2026).
In conclusion, GSUSA stands at a pivotal crossroads. Its brand equity, programmatic depth, and volunteer network represent durable competitive assets—but they are being structurally eroded by demographic shifts, digital disruption, and competitive expansion that incremental responses will not reverse. Bold, evidence-based strategic action across membership recovery, revenue diversification, and operational modernization is not optional—it is the price of organizational survival and mission fulfillment for GSUSA's next 112 years.</t>
  </si>
  <si>
    <t>The VUCA and PESTLE analyses reveal that GSUSA operates in an environment of compounding complexity that demands more than incremental program updates. From a VUCA perspective, the most acute strategic challenge is ambiguity: GSUSA leadership cannot clearly determine whether modernizing programming to embrace gender fluidity will attract new members or accelerate departure of its traditional core base (Bennett &amp; Lemoine, 2014; Codreanu, 2016). This ambiguity paralysis—evident in the organization's reactive rather than proactive response to the Scouts BSA's competitive incursion—represents a leadership culture risk that strategic planning tools alone cannot resolve. The organization requires structured scenario planning and member sentiment analytics to break the paralysis cycle.
The PESTLE analysis identifies two macro-level forces that intersect with every element of GSUSA's SWOT. First, the social factor—particularly Gen Z's preference for flexible, digital-first community experiences over structured hierarchical organizations—directly undermines the traditional weekly troop meeting model that has been GSUSA's primary delivery mechanism for 112 years (Pew Research, 2026). This is not a temporary pandemic effect; it reflects a permanent generational shift in how youth engage with civic and community organizations. Second, the economic factor—specifically the 22% growth in corporate ESG sponsorship budgets—creates a time-sensitive window for GSUSA to reposition itself as the premier corporate partner for women's leadership development before competitors identify and claim those partnerships at scale (Nonprofit Finance Fund, 2026; McKinsey, 2026).</t>
  </si>
  <si>
    <t>Drawing from the IFAS and EFAS, three factor pairs emerge as the highest-priority strategic intersections for GSUSA's leadership.
S-O Strategic Pair (Brand Heritage + ESG Opportunity): GSUSA's 112-year legacy and institutional credibility position it as the natural partner for Fortune 500 companies seeking to invest in women's leadership development and STEM education through their ESG programs. No competitor—not Scouts BSA, not YMCA, not any EdTech startup—carries comparable brand equity in this space. A structured National Corporate Partnership Program targeting $50M in incremental ESG sponsorship revenue by FY2028 would meaningfully reduce cookie revenue dependency while reinforcing core brand equity (Du &amp; Chen, 2018; McKinsey, 2026).
W-O Strategic Pair (Membership Decline + Digital Programming Opportunity): The most urgent intersection in the SWOT matrix combines GSUSA's highest-weighted weakness (membership decline at weight 0.15) with its highest-weighted opportunity (digital badge programming at weight 0.18). Launching AI-powered, self-paced badge tracks accessible via mobile app would allow GSUSA to reach Gen Z and Gen Alpha members who cannot commit to weekly in-person troop meetings—directly addressing the structural time barrier identified in the PESTLE social analysis (Ellis, 2026; Pew Research, 2026).
W-T Strategic Pair (Revenue Concentration + BSA Competition): The intersection of GSUSA's cookie dependency with Scouts BSA's open-membership competitive expansion represents the most existentially significant strategic risk in this analysis. BSA's gender-neutral model gives it access to a structurally larger addressable membership market. GSUSA must accelerate development of a multi-revenue portfolio—alumni giving programs, corporate licensing, and digital subscriptions—to build financial resilience independent of any single competitive outcome in the broader youth organization market (Berisha &amp; Pula, 2015; Nonprofit Finance Fund,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</si>
</sst>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charset val="1"/>
    </font>
    <font>
      <b/>
      <sz val="14"/>
      <color rgb="FFFFFFFF"/>
      <name val="Arial"/>
      <charset val="1"/>
    </font>
    <font>
      <b/>
      <sz val="12"/>
      <color rgb="FFFFFFFF"/>
      <name val="Arial"/>
      <charset val="1"/>
    </font>
    <font>
      <b/>
      <sz val="10"/>
      <color rgb="FFFFFFFF"/>
      <name val="Arial"/>
      <charset val="1"/>
    </font>
    <font>
      <sz val="8"/>
      <color rgb="FF555555"/>
      <name val="Arial"/>
      <charset val="1"/>
    </font>
    <font>
      <sz val="10"/>
      <color rgb="FF000000"/>
      <name val="Arial"/>
      <charset val="1"/>
    </font>
    <font>
      <b/>
      <sz val="11"/>
      <color rgb="FFFFFFFF"/>
      <name val="Arial"/>
      <charset val="1"/>
    </font>
    <font>
      <sz val="9"/>
      <color rgb="FF555555"/>
      <name val="Arial"/>
      <charset val="1"/>
    </font>
    <font>
      <sz val="9"/>
      <color rgb="FF000000"/>
      <name val="Arial"/>
      <charset val="1"/>
    </font>
    <font>
      <b/>
      <sz val="9"/>
      <color rgb="FF555555"/>
      <name val="Arial"/>
      <charset val="1"/>
    </font>
    <font>
      <b/>
      <sz val="16"/>
      <color rgb="FFFFFFFF"/>
      <name val="Arial"/>
      <charset val="1"/>
    </font>
    <font>
      <b/>
      <sz val="13"/>
      <color rgb="FFFFFFFF"/>
      <name val="Arial"/>
      <charset val="1"/>
    </font>
  </fonts>
  <fills count="20">
    <fill>
      <patternFill patternType="none"/>
    </fill>
    <fill>
      <patternFill patternType="gray125"/>
    </fill>
    <fill>
      <patternFill patternType="solid">
        <fgColor rgb="FF1A5276"/>
        <bgColor rgb="FF154360"/>
      </patternFill>
    </fill>
    <fill>
      <patternFill patternType="solid">
        <fgColor rgb="FF1E8449"/>
        <bgColor rgb="FF008080"/>
      </patternFill>
    </fill>
    <fill>
      <patternFill patternType="solid">
        <fgColor rgb="FF2E86C1"/>
        <bgColor rgb="FF2471A3"/>
      </patternFill>
    </fill>
    <fill>
      <patternFill patternType="solid">
        <fgColor rgb="FFF2F3F4"/>
        <bgColor rgb="FFEAFAF1"/>
      </patternFill>
    </fill>
    <fill>
      <patternFill patternType="solid">
        <fgColor rgb="FFD5F5E3"/>
        <bgColor rgb="FFD6EAF8"/>
      </patternFill>
    </fill>
    <fill>
      <patternFill patternType="solid">
        <fgColor rgb="FFFFFFFF"/>
        <bgColor rgb="FFFEF9E7"/>
      </patternFill>
    </fill>
    <fill>
      <patternFill patternType="solid">
        <fgColor rgb="FF922B21"/>
        <bgColor rgb="FFC0392B"/>
      </patternFill>
    </fill>
    <fill>
      <patternFill patternType="solid">
        <fgColor rgb="FFFADBD8"/>
        <bgColor rgb="FFFEF5E7"/>
      </patternFill>
    </fill>
    <fill>
      <patternFill patternType="solid">
        <fgColor rgb="FFD6EAF8"/>
        <bgColor rgb="FFD5F5E3"/>
      </patternFill>
    </fill>
    <fill>
      <patternFill patternType="solid">
        <fgColor rgb="FF154360"/>
        <bgColor rgb="FF1A5276"/>
      </patternFill>
    </fill>
    <fill>
      <patternFill patternType="solid">
        <fgColor rgb="FF2471A3"/>
        <bgColor rgb="FF2E86C1"/>
      </patternFill>
    </fill>
    <fill>
      <patternFill patternType="solid">
        <fgColor rgb="FF7D3C98"/>
        <bgColor rgb="FF555555"/>
      </patternFill>
    </fill>
    <fill>
      <patternFill patternType="solid">
        <fgColor rgb="FFD4AC0D"/>
        <bgColor rgb="FFFFCC00"/>
      </patternFill>
    </fill>
    <fill>
      <patternFill patternType="solid">
        <fgColor rgb="FFFEF9E7"/>
        <bgColor rgb="FFFEF5E7"/>
      </patternFill>
    </fill>
    <fill>
      <patternFill patternType="solid">
        <fgColor rgb="FFEAFAF1"/>
        <bgColor rgb="FFF2F3F4"/>
      </patternFill>
    </fill>
    <fill>
      <patternFill patternType="solid">
        <fgColor rgb="FFE67E22"/>
        <bgColor rgb="FFFF8080"/>
      </patternFill>
    </fill>
    <fill>
      <patternFill patternType="solid">
        <fgColor rgb="FFFEF5E7"/>
        <bgColor rgb="FFFEF9E7"/>
      </patternFill>
    </fill>
    <fill>
      <patternFill patternType="solid">
        <fgColor rgb="FF555555"/>
        <bgColor rgb="FF333333"/>
      </patternFill>
    </fill>
  </fills>
  <borders count="6">
    <border>
      <left/>
      <right/>
      <top/>
      <bottom/>
      <diagonal/>
    </border>
    <border>
      <left style="thin">
        <color rgb="FFAAAAAA"/>
      </left>
      <right style="thin">
        <color rgb="FFAAAAAA"/>
      </right>
      <top style="thin">
        <color rgb="FFAAAAAA"/>
      </top>
      <bottom style="thin">
        <color rgb="FFAAAAAA"/>
      </bottom>
      <diagonal/>
    </border>
    <border>
      <left style="medium">
        <color rgb="FF333333"/>
      </left>
      <right style="medium">
        <color rgb="FF333333"/>
      </right>
      <top style="medium">
        <color rgb="FF333333"/>
      </top>
      <bottom style="medium">
        <color rgb="FF333333"/>
      </bottom>
      <diagonal/>
    </border>
    <border>
      <left style="medium">
        <color rgb="FF2E86C1"/>
      </left>
      <right style="medium">
        <color rgb="FF2E86C1"/>
      </right>
      <top style="medium">
        <color rgb="FF2E86C1"/>
      </top>
      <bottom/>
      <diagonal/>
    </border>
    <border>
      <left style="medium">
        <color rgb="FFC0392B"/>
      </left>
      <right style="medium">
        <color rgb="FFC0392B"/>
      </right>
      <top style="medium">
        <color rgb="FFC0392B"/>
      </top>
      <bottom/>
      <diagonal/>
    </border>
    <border>
      <left style="medium">
        <color rgb="FF1A5276"/>
      </left>
      <right style="medium">
        <color rgb="FF1A5276"/>
      </right>
      <top style="medium">
        <color rgb="FF1A5276"/>
      </top>
      <bottom/>
      <diagonal/>
    </border>
  </borders>
  <cellStyleXfs count="1">
    <xf numFmtId="0" fontId="0" fillId="0" borderId="0"/>
  </cellStyleXfs>
  <cellXfs count="80">
    <xf numFmtId="0" fontId="0" fillId="0" borderId="0" xfId="0"/>
    <xf numFmtId="0" fontId="3" fillId="12" borderId="0" xfId="0" applyFont="1" applyFill="1" applyAlignment="1">
      <alignment horizontal="center" vertical="center" wrapText="1"/>
    </xf>
    <xf numFmtId="0" fontId="2" fillId="3" borderId="0" xfId="0" applyFont="1" applyFill="1" applyAlignment="1">
      <alignment horizontal="center" vertical="center"/>
    </xf>
    <xf numFmtId="0" fontId="3" fillId="4"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2" fontId="5" fillId="6"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164" fontId="5" fillId="6" borderId="1" xfId="0" applyNumberFormat="1" applyFont="1" applyFill="1" applyBorder="1" applyAlignment="1">
      <alignment horizontal="center" vertical="center"/>
    </xf>
    <xf numFmtId="0" fontId="5" fillId="7" borderId="1" xfId="0" applyFont="1" applyFill="1" applyBorder="1" applyAlignment="1">
      <alignment horizontal="left" vertical="center" wrapText="1"/>
    </xf>
    <xf numFmtId="2" fontId="5" fillId="7"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164" fontId="5" fillId="7" borderId="1" xfId="0" applyNumberFormat="1" applyFont="1" applyFill="1" applyBorder="1" applyAlignment="1">
      <alignment horizontal="center" vertical="center"/>
    </xf>
    <xf numFmtId="0" fontId="3" fillId="3" borderId="2" xfId="0" applyFont="1" applyFill="1" applyBorder="1" applyAlignment="1">
      <alignment horizontal="center" vertical="center"/>
    </xf>
    <xf numFmtId="2" fontId="3" fillId="3" borderId="2" xfId="0" applyNumberFormat="1" applyFont="1" applyFill="1" applyBorder="1" applyAlignment="1">
      <alignment horizontal="center" vertical="center"/>
    </xf>
    <xf numFmtId="0" fontId="0" fillId="3" borderId="2" xfId="0" applyFill="1" applyBorder="1"/>
    <xf numFmtId="164" fontId="3" fillId="3" borderId="2" xfId="0" applyNumberFormat="1" applyFont="1" applyFill="1" applyBorder="1" applyAlignment="1">
      <alignment horizontal="center" vertical="center"/>
    </xf>
    <xf numFmtId="0" fontId="5" fillId="9" borderId="1" xfId="0" applyFont="1" applyFill="1" applyBorder="1" applyAlignment="1">
      <alignment horizontal="left" vertical="center" wrapText="1"/>
    </xf>
    <xf numFmtId="2" fontId="5" fillId="9" borderId="1" xfId="0" applyNumberFormat="1" applyFont="1" applyFill="1" applyBorder="1" applyAlignment="1">
      <alignment horizontal="center" vertical="center"/>
    </xf>
    <xf numFmtId="0" fontId="5" fillId="9" borderId="1" xfId="0" applyFont="1" applyFill="1" applyBorder="1" applyAlignment="1">
      <alignment horizontal="center" vertical="center"/>
    </xf>
    <xf numFmtId="164" fontId="5" fillId="9" borderId="1" xfId="0" applyNumberFormat="1" applyFont="1" applyFill="1" applyBorder="1" applyAlignment="1">
      <alignment horizontal="center" vertical="center"/>
    </xf>
    <xf numFmtId="0" fontId="3" fillId="8" borderId="2" xfId="0" applyFont="1" applyFill="1" applyBorder="1" applyAlignment="1">
      <alignment horizontal="center" vertical="center"/>
    </xf>
    <xf numFmtId="2" fontId="3" fillId="8" borderId="2" xfId="0" applyNumberFormat="1" applyFont="1" applyFill="1" applyBorder="1" applyAlignment="1">
      <alignment horizontal="center" vertical="center"/>
    </xf>
    <xf numFmtId="0" fontId="0" fillId="8" borderId="2" xfId="0" applyFill="1" applyBorder="1"/>
    <xf numFmtId="164" fontId="3" fillId="8"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2" fontId="6" fillId="2" borderId="2" xfId="0" applyNumberFormat="1" applyFont="1" applyFill="1" applyBorder="1" applyAlignment="1">
      <alignment horizontal="center" vertical="center"/>
    </xf>
    <xf numFmtId="0" fontId="0" fillId="2" borderId="2" xfId="0" applyFill="1" applyBorder="1"/>
    <xf numFmtId="164" fontId="6" fillId="2" borderId="2" xfId="0" applyNumberFormat="1" applyFont="1" applyFill="1" applyBorder="1" applyAlignment="1">
      <alignment horizontal="center" vertical="center"/>
    </xf>
    <xf numFmtId="0" fontId="5" fillId="10" borderId="1" xfId="0" applyFont="1" applyFill="1" applyBorder="1" applyAlignment="1">
      <alignment horizontal="left" vertical="center" wrapText="1"/>
    </xf>
    <xf numFmtId="2" fontId="5" fillId="10" borderId="1" xfId="0" applyNumberFormat="1" applyFont="1" applyFill="1" applyBorder="1" applyAlignment="1">
      <alignment horizontal="center" vertical="center"/>
    </xf>
    <xf numFmtId="0" fontId="5" fillId="10" borderId="1" xfId="0" applyFont="1" applyFill="1" applyBorder="1" applyAlignment="1">
      <alignment horizontal="center" vertical="center"/>
    </xf>
    <xf numFmtId="164" fontId="5" fillId="10" borderId="1" xfId="0" applyNumberFormat="1" applyFont="1" applyFill="1" applyBorder="1" applyAlignment="1">
      <alignment horizontal="center" vertical="center"/>
    </xf>
    <xf numFmtId="0" fontId="3" fillId="11" borderId="2" xfId="0" applyFont="1" applyFill="1" applyBorder="1" applyAlignment="1">
      <alignment horizontal="center" vertical="center"/>
    </xf>
    <xf numFmtId="2" fontId="3" fillId="11" borderId="2" xfId="0" applyNumberFormat="1" applyFont="1" applyFill="1" applyBorder="1" applyAlignment="1">
      <alignment horizontal="center" vertical="center"/>
    </xf>
    <xf numFmtId="0" fontId="0" fillId="11" borderId="2" xfId="0" applyFill="1" applyBorder="1"/>
    <xf numFmtId="164" fontId="3" fillId="11" borderId="2" xfId="0" applyNumberFormat="1" applyFont="1" applyFill="1" applyBorder="1" applyAlignment="1">
      <alignment horizontal="center" vertical="center"/>
    </xf>
    <xf numFmtId="0" fontId="0" fillId="2" borderId="0" xfId="0" applyFill="1"/>
    <xf numFmtId="0" fontId="3" fillId="8" borderId="0" xfId="0" applyFont="1" applyFill="1" applyAlignment="1">
      <alignment horizontal="center" vertical="center" wrapText="1"/>
    </xf>
    <xf numFmtId="0" fontId="2" fillId="8" borderId="0" xfId="0" applyFont="1" applyFill="1" applyAlignment="1">
      <alignment horizontal="center" vertical="center"/>
    </xf>
    <xf numFmtId="0" fontId="2" fillId="11" borderId="0" xfId="0" applyFont="1" applyFill="1" applyAlignment="1">
      <alignment horizontal="center" vertical="center"/>
    </xf>
    <xf numFmtId="0" fontId="3" fillId="2"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8" fillId="10"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3" fillId="14" borderId="2" xfId="0" applyFont="1" applyFill="1" applyBorder="1" applyAlignment="1">
      <alignment horizontal="center" vertical="center" wrapText="1"/>
    </xf>
    <xf numFmtId="0" fontId="8" fillId="15" borderId="1" xfId="0" applyFont="1" applyFill="1" applyBorder="1" applyAlignment="1">
      <alignment horizontal="left" vertical="center" wrapText="1"/>
    </xf>
    <xf numFmtId="0" fontId="8" fillId="16" borderId="1"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8" fillId="9"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3" fillId="8" borderId="1" xfId="0" applyFont="1" applyFill="1" applyBorder="1" applyAlignment="1">
      <alignment horizontal="center" vertical="center"/>
    </xf>
    <xf numFmtId="0" fontId="3" fillId="13" borderId="2" xfId="0" applyFont="1" applyFill="1" applyBorder="1" applyAlignment="1">
      <alignment horizontal="center" vertical="center" wrapText="1"/>
    </xf>
    <xf numFmtId="0" fontId="3" fillId="17" borderId="2" xfId="0" applyFont="1" applyFill="1" applyBorder="1" applyAlignment="1">
      <alignment horizontal="center" vertical="center" wrapText="1"/>
    </xf>
    <xf numFmtId="0" fontId="3" fillId="14" borderId="1" xfId="0" applyFont="1" applyFill="1" applyBorder="1" applyAlignment="1">
      <alignment horizontal="center" vertical="center"/>
    </xf>
    <xf numFmtId="0" fontId="8" fillId="18" borderId="1"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11" fillId="2" borderId="2" xfId="0" applyFont="1" applyFill="1" applyBorder="1" applyAlignment="1">
      <alignment horizontal="left" vertical="center" wrapText="1"/>
    </xf>
    <xf numFmtId="0" fontId="2" fillId="12" borderId="2"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3" borderId="2" xfId="0" applyFont="1" applyFill="1" applyBorder="1" applyAlignment="1">
      <alignment horizontal="left" vertical="center" wrapText="1"/>
    </xf>
    <xf numFmtId="0" fontId="2" fillId="13" borderId="2" xfId="0" applyFont="1" applyFill="1" applyBorder="1" applyAlignment="1">
      <alignment horizontal="left" vertical="center" wrapText="1"/>
    </xf>
    <xf numFmtId="0" fontId="2" fillId="14" borderId="2" xfId="0" applyFont="1" applyFill="1" applyBorder="1" applyAlignment="1">
      <alignment horizontal="left" vertical="center" wrapText="1"/>
    </xf>
    <xf numFmtId="0" fontId="6" fillId="19" borderId="2" xfId="0" applyFont="1" applyFill="1" applyBorder="1" applyAlignment="1">
      <alignment horizontal="left" vertical="center" wrapText="1"/>
    </xf>
    <xf numFmtId="0" fontId="1" fillId="2" borderId="0" xfId="0" applyFont="1" applyFill="1" applyAlignment="1">
      <alignment horizontal="center" vertical="center"/>
    </xf>
    <xf numFmtId="0" fontId="9" fillId="5" borderId="0" xfId="0" applyFont="1" applyFill="1" applyAlignment="1">
      <alignment horizontal="center" vertical="center"/>
    </xf>
    <xf numFmtId="0" fontId="4" fillId="5" borderId="0" xfId="0" applyFont="1" applyFill="1" applyAlignment="1">
      <alignment horizontal="center" vertical="center" wrapText="1"/>
    </xf>
    <xf numFmtId="0" fontId="2" fillId="3" borderId="0" xfId="0" applyFont="1" applyFill="1" applyAlignment="1">
      <alignment horizontal="center" vertical="center"/>
    </xf>
    <xf numFmtId="0" fontId="3" fillId="3" borderId="0" xfId="0" applyFont="1" applyFill="1" applyAlignment="1">
      <alignment horizontal="center" vertical="center"/>
    </xf>
    <xf numFmtId="0" fontId="3" fillId="8" borderId="0" xfId="0" applyFont="1" applyFill="1" applyAlignment="1">
      <alignment horizontal="center" vertical="center"/>
    </xf>
    <xf numFmtId="0" fontId="3" fillId="2" borderId="0" xfId="0" applyFont="1" applyFill="1" applyAlignment="1">
      <alignment horizontal="center" vertical="center"/>
    </xf>
    <xf numFmtId="0" fontId="3" fillId="13" borderId="0" xfId="0" applyFont="1" applyFill="1" applyAlignment="1">
      <alignment horizontal="center" vertical="center" wrapText="1"/>
    </xf>
    <xf numFmtId="0" fontId="8" fillId="10" borderId="5" xfId="0" applyFont="1" applyFill="1" applyBorder="1" applyAlignment="1">
      <alignment horizontal="left" vertical="center" wrapText="1"/>
    </xf>
    <xf numFmtId="0" fontId="8" fillId="9" borderId="4" xfId="0" applyFont="1" applyFill="1" applyBorder="1" applyAlignment="1">
      <alignment horizontal="left" vertical="center" wrapText="1"/>
    </xf>
    <xf numFmtId="0" fontId="7" fillId="5" borderId="0" xfId="0" applyFont="1" applyFill="1" applyAlignment="1">
      <alignment horizontal="center" vertical="center"/>
    </xf>
    <xf numFmtId="0" fontId="3" fillId="12" borderId="0" xfId="0" applyFont="1" applyFill="1" applyAlignment="1">
      <alignment horizontal="center" vertical="center" wrapText="1"/>
    </xf>
    <xf numFmtId="0" fontId="8" fillId="6" borderId="3" xfId="0" applyFont="1" applyFill="1" applyBorder="1" applyAlignment="1">
      <alignment horizontal="left" vertical="center" wrapText="1"/>
    </xf>
    <xf numFmtId="0" fontId="10"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D3C98"/>
      <rgbColor rgb="FFFEF9E7"/>
      <rgbColor rgb="FFD6EAF8"/>
      <rgbColor rgb="FF660066"/>
      <rgbColor rgb="FFFF8080"/>
      <rgbColor rgb="FF2471A3"/>
      <rgbColor rgb="FFF2F3F4"/>
      <rgbColor rgb="FF000080"/>
      <rgbColor rgb="FFFF00FF"/>
      <rgbColor rgb="FFFFFF00"/>
      <rgbColor rgb="FF00FFFF"/>
      <rgbColor rgb="FF800080"/>
      <rgbColor rgb="FF800000"/>
      <rgbColor rgb="FF008080"/>
      <rgbColor rgb="FF0000FF"/>
      <rgbColor rgb="FF00CCFF"/>
      <rgbColor rgb="FFEAFAF1"/>
      <rgbColor rgb="FFD5F5E3"/>
      <rgbColor rgb="FFFEF5E7"/>
      <rgbColor rgb="FF99CCFF"/>
      <rgbColor rgb="FFFF99CC"/>
      <rgbColor rgb="FFCC99FF"/>
      <rgbColor rgb="FFFADBD8"/>
      <rgbColor rgb="FF2E86C1"/>
      <rgbColor rgb="FF33CCCC"/>
      <rgbColor rgb="FF99CC00"/>
      <rgbColor rgb="FFFFCC00"/>
      <rgbColor rgb="FFD4AC0D"/>
      <rgbColor rgb="FFE67E22"/>
      <rgbColor rgb="FF555555"/>
      <rgbColor rgb="FFAAAAAA"/>
      <rgbColor rgb="FF154360"/>
      <rgbColor rgb="FF1E8449"/>
      <rgbColor rgb="FF003300"/>
      <rgbColor rgb="FF333300"/>
      <rgbColor rgb="FF922B21"/>
      <rgbColor rgb="FFC0392B"/>
      <rgbColor rgb="FF1A52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showGridLines="0" topLeftCell="A9" zoomScaleNormal="100" workbookViewId="0">
      <selection sqref="A1:D1"/>
    </sheetView>
  </sheetViews>
  <sheetFormatPr defaultColWidth="8.6640625" defaultRowHeight="14.4" x14ac:dyDescent="0.3"/>
  <cols>
    <col min="1" max="1" width="48" customWidth="1"/>
    <col min="2" max="2" width="10" customWidth="1"/>
    <col min="3" max="3" width="12" customWidth="1"/>
    <col min="4" max="4" width="16" customWidth="1"/>
  </cols>
  <sheetData>
    <row r="1" spans="1:4" ht="27.75" customHeight="1" x14ac:dyDescent="0.3">
      <c r="A1" s="66" t="s">
        <v>0</v>
      </c>
      <c r="B1" s="66"/>
      <c r="C1" s="66"/>
      <c r="D1" s="66"/>
    </row>
    <row r="2" spans="1:4" ht="21.75" customHeight="1" x14ac:dyDescent="0.3">
      <c r="A2" s="69" t="s">
        <v>1</v>
      </c>
      <c r="B2" s="69"/>
      <c r="C2" s="69"/>
      <c r="D2" s="69"/>
    </row>
    <row r="3" spans="1:4" ht="18" customHeight="1" x14ac:dyDescent="0.3">
      <c r="A3" s="3" t="s">
        <v>2</v>
      </c>
      <c r="B3" s="3" t="s">
        <v>3</v>
      </c>
      <c r="C3" s="3" t="s">
        <v>4</v>
      </c>
      <c r="D3" s="3" t="s">
        <v>5</v>
      </c>
    </row>
    <row r="4" spans="1:4" ht="21.75" customHeight="1" x14ac:dyDescent="0.3">
      <c r="A4" s="68" t="s">
        <v>6</v>
      </c>
      <c r="B4" s="68"/>
      <c r="C4" s="68"/>
      <c r="D4" s="68"/>
    </row>
    <row r="5" spans="1:4" ht="18" customHeight="1" x14ac:dyDescent="0.3">
      <c r="A5" s="70" t="s">
        <v>7</v>
      </c>
      <c r="B5" s="70"/>
      <c r="C5" s="70"/>
      <c r="D5" s="70"/>
    </row>
    <row r="6" spans="1:4" ht="30.75" customHeight="1" x14ac:dyDescent="0.3">
      <c r="A6" s="4" t="s">
        <v>8</v>
      </c>
      <c r="B6" s="5">
        <v>0.18</v>
      </c>
      <c r="C6" s="6">
        <v>5</v>
      </c>
      <c r="D6" s="7">
        <f>B6*C6</f>
        <v>0.89999999999999991</v>
      </c>
    </row>
    <row r="7" spans="1:4" ht="30.75" customHeight="1" x14ac:dyDescent="0.3">
      <c r="A7" s="8" t="s">
        <v>9</v>
      </c>
      <c r="B7" s="9">
        <v>0.15</v>
      </c>
      <c r="C7" s="10">
        <v>4</v>
      </c>
      <c r="D7" s="11">
        <f>B7*C7</f>
        <v>0.6</v>
      </c>
    </row>
    <row r="8" spans="1:4" ht="35.25" customHeight="1" x14ac:dyDescent="0.3">
      <c r="A8" s="4" t="s">
        <v>10</v>
      </c>
      <c r="B8" s="5">
        <v>0.12</v>
      </c>
      <c r="C8" s="6">
        <v>4</v>
      </c>
      <c r="D8" s="7">
        <f>B8*C8</f>
        <v>0.48</v>
      </c>
    </row>
    <row r="9" spans="1:4" ht="30.75" customHeight="1" x14ac:dyDescent="0.3">
      <c r="A9" s="8" t="s">
        <v>11</v>
      </c>
      <c r="B9" s="9">
        <v>0.1</v>
      </c>
      <c r="C9" s="10">
        <v>4</v>
      </c>
      <c r="D9" s="11">
        <f>B9*C9</f>
        <v>0.4</v>
      </c>
    </row>
    <row r="10" spans="1:4" ht="39" customHeight="1" x14ac:dyDescent="0.3">
      <c r="A10" s="4" t="s">
        <v>12</v>
      </c>
      <c r="B10" s="5">
        <v>0.08</v>
      </c>
      <c r="C10" s="6">
        <v>4</v>
      </c>
      <c r="D10" s="7">
        <f>B10*C10</f>
        <v>0.32</v>
      </c>
    </row>
    <row r="11" spans="1:4" ht="18" customHeight="1" x14ac:dyDescent="0.3">
      <c r="A11" s="12" t="s">
        <v>13</v>
      </c>
      <c r="B11" s="13">
        <f>SUM(B6:B10)</f>
        <v>0.62999999999999989</v>
      </c>
      <c r="C11" s="14"/>
      <c r="D11" s="15">
        <f>SUM(D6:D10)</f>
        <v>2.6999999999999997</v>
      </c>
    </row>
    <row r="12" spans="1:4" ht="18" customHeight="1" x14ac:dyDescent="0.3">
      <c r="A12" s="71" t="s">
        <v>14</v>
      </c>
      <c r="B12" s="71"/>
      <c r="C12" s="71"/>
      <c r="D12" s="71"/>
    </row>
    <row r="13" spans="1:4" ht="30.75" customHeight="1" x14ac:dyDescent="0.3">
      <c r="A13" s="16" t="s">
        <v>15</v>
      </c>
      <c r="B13" s="17">
        <v>0.15</v>
      </c>
      <c r="C13" s="18">
        <v>1</v>
      </c>
      <c r="D13" s="19">
        <f>B13*C13</f>
        <v>0.15</v>
      </c>
    </row>
    <row r="14" spans="1:4" ht="21.75" customHeight="1" x14ac:dyDescent="0.3">
      <c r="A14" s="8" t="s">
        <v>16</v>
      </c>
      <c r="B14" s="9">
        <v>0.12</v>
      </c>
      <c r="C14" s="10">
        <v>2</v>
      </c>
      <c r="D14" s="11">
        <f>B14*C14</f>
        <v>0.24</v>
      </c>
    </row>
    <row r="15" spans="1:4" ht="31.5" customHeight="1" x14ac:dyDescent="0.3">
      <c r="A15" s="16" t="s">
        <v>17</v>
      </c>
      <c r="B15" s="17">
        <v>0.05</v>
      </c>
      <c r="C15" s="18">
        <v>2</v>
      </c>
      <c r="D15" s="19">
        <f>B15*C15</f>
        <v>0.1</v>
      </c>
    </row>
    <row r="16" spans="1:4" ht="30" customHeight="1" x14ac:dyDescent="0.3">
      <c r="A16" s="8" t="s">
        <v>18</v>
      </c>
      <c r="B16" s="9">
        <v>0.03</v>
      </c>
      <c r="C16" s="10">
        <v>2</v>
      </c>
      <c r="D16" s="11">
        <f>B16*C16</f>
        <v>0.06</v>
      </c>
    </row>
    <row r="17" spans="1:4" ht="30" customHeight="1" x14ac:dyDescent="0.3">
      <c r="A17" s="16" t="s">
        <v>19</v>
      </c>
      <c r="B17" s="17">
        <v>0.02</v>
      </c>
      <c r="C17" s="18">
        <v>1</v>
      </c>
      <c r="D17" s="19">
        <f>B17*C17</f>
        <v>0.02</v>
      </c>
    </row>
    <row r="18" spans="1:4" ht="18" customHeight="1" x14ac:dyDescent="0.3">
      <c r="A18" s="20" t="s">
        <v>20</v>
      </c>
      <c r="B18" s="21">
        <f>SUM(B13:B17)</f>
        <v>0.37</v>
      </c>
      <c r="C18" s="22"/>
      <c r="D18" s="23">
        <f>SUM(D13:D17)</f>
        <v>0.57000000000000006</v>
      </c>
    </row>
    <row r="19" spans="1:4" ht="24" customHeight="1" x14ac:dyDescent="0.3">
      <c r="A19" s="24" t="s">
        <v>21</v>
      </c>
      <c r="B19" s="25">
        <f>B11+B18</f>
        <v>0.99999999999999989</v>
      </c>
      <c r="C19" s="26"/>
      <c r="D19" s="27">
        <f>D11+D18</f>
        <v>3.2699999999999996</v>
      </c>
    </row>
    <row r="20" spans="1:4" ht="19.5" customHeight="1" x14ac:dyDescent="0.3">
      <c r="A20" s="68" t="s">
        <v>22</v>
      </c>
      <c r="B20" s="68"/>
      <c r="C20" s="68"/>
      <c r="D20" s="68"/>
    </row>
  </sheetData>
  <mergeCells count="6">
    <mergeCell ref="A20:D20"/>
    <mergeCell ref="A1:D1"/>
    <mergeCell ref="A2:D2"/>
    <mergeCell ref="A4:D4"/>
    <mergeCell ref="A5:D5"/>
    <mergeCell ref="A12:D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
  <sheetViews>
    <sheetView showGridLines="0" zoomScaleNormal="100" workbookViewId="0">
      <selection activeCell="G5" sqref="G5"/>
    </sheetView>
  </sheetViews>
  <sheetFormatPr defaultColWidth="8.6640625" defaultRowHeight="14.4" x14ac:dyDescent="0.3"/>
  <cols>
    <col min="1" max="1" width="48" customWidth="1"/>
    <col min="2" max="2" width="10" customWidth="1"/>
    <col min="3" max="3" width="12" customWidth="1"/>
    <col min="4" max="4" width="16" customWidth="1"/>
  </cols>
  <sheetData>
    <row r="1" spans="1:4" ht="27.75" customHeight="1" x14ac:dyDescent="0.3">
      <c r="A1" s="66" t="s">
        <v>0</v>
      </c>
      <c r="B1" s="66"/>
      <c r="C1" s="66"/>
      <c r="D1" s="66"/>
    </row>
    <row r="2" spans="1:4" ht="21.75" customHeight="1" x14ac:dyDescent="0.3">
      <c r="A2" s="69" t="s">
        <v>23</v>
      </c>
      <c r="B2" s="69"/>
      <c r="C2" s="69"/>
      <c r="D2" s="69"/>
    </row>
    <row r="3" spans="1:4" ht="18" customHeight="1" x14ac:dyDescent="0.3">
      <c r="A3" s="3" t="s">
        <v>24</v>
      </c>
      <c r="B3" s="3" t="s">
        <v>3</v>
      </c>
      <c r="C3" s="3" t="s">
        <v>4</v>
      </c>
      <c r="D3" s="3" t="s">
        <v>5</v>
      </c>
    </row>
    <row r="4" spans="1:4" ht="21.75" customHeight="1" x14ac:dyDescent="0.3">
      <c r="A4" s="68" t="s">
        <v>25</v>
      </c>
      <c r="B4" s="68"/>
      <c r="C4" s="68"/>
      <c r="D4" s="68"/>
    </row>
    <row r="5" spans="1:4" ht="18" customHeight="1" x14ac:dyDescent="0.3">
      <c r="A5" s="72" t="s">
        <v>26</v>
      </c>
      <c r="B5" s="72"/>
      <c r="C5" s="72"/>
      <c r="D5" s="72"/>
    </row>
    <row r="6" spans="1:4" ht="33.75" customHeight="1" x14ac:dyDescent="0.3">
      <c r="A6" s="28" t="s">
        <v>27</v>
      </c>
      <c r="B6" s="29">
        <v>0.18</v>
      </c>
      <c r="C6" s="30">
        <v>4</v>
      </c>
      <c r="D6" s="31">
        <f>B6*C6</f>
        <v>0.72</v>
      </c>
    </row>
    <row r="7" spans="1:4" ht="30.75" customHeight="1" x14ac:dyDescent="0.3">
      <c r="A7" s="8" t="s">
        <v>28</v>
      </c>
      <c r="B7" s="9">
        <v>0.15</v>
      </c>
      <c r="C7" s="10">
        <v>4</v>
      </c>
      <c r="D7" s="11">
        <f>B7*C7</f>
        <v>0.6</v>
      </c>
    </row>
    <row r="8" spans="1:4" ht="29.25" customHeight="1" x14ac:dyDescent="0.3">
      <c r="A8" s="28" t="s">
        <v>29</v>
      </c>
      <c r="B8" s="29">
        <v>0.1</v>
      </c>
      <c r="C8" s="30">
        <v>3</v>
      </c>
      <c r="D8" s="31">
        <f>B8*C8</f>
        <v>0.30000000000000004</v>
      </c>
    </row>
    <row r="9" spans="1:4" ht="31.5" customHeight="1" x14ac:dyDescent="0.3">
      <c r="A9" s="8" t="s">
        <v>30</v>
      </c>
      <c r="B9" s="9">
        <v>0.08</v>
      </c>
      <c r="C9" s="10">
        <v>4</v>
      </c>
      <c r="D9" s="11">
        <f>B9*C9</f>
        <v>0.32</v>
      </c>
    </row>
    <row r="10" spans="1:4" ht="36.75" customHeight="1" x14ac:dyDescent="0.3">
      <c r="A10" s="28" t="s">
        <v>31</v>
      </c>
      <c r="B10" s="29">
        <v>7.0000000000000007E-2</v>
      </c>
      <c r="C10" s="30">
        <v>3</v>
      </c>
      <c r="D10" s="31">
        <f>B10*C10</f>
        <v>0.21000000000000002</v>
      </c>
    </row>
    <row r="11" spans="1:4" ht="18" customHeight="1" x14ac:dyDescent="0.3">
      <c r="A11" s="32" t="s">
        <v>32</v>
      </c>
      <c r="B11" s="33">
        <f>SUM(B6:B10)</f>
        <v>0.57999999999999985</v>
      </c>
      <c r="C11" s="34"/>
      <c r="D11" s="35">
        <f>SUM(D6:D10)</f>
        <v>2.15</v>
      </c>
    </row>
    <row r="12" spans="1:4" ht="18" customHeight="1" x14ac:dyDescent="0.3">
      <c r="A12" s="71" t="s">
        <v>33</v>
      </c>
      <c r="B12" s="71"/>
      <c r="C12" s="71"/>
      <c r="D12" s="71"/>
    </row>
    <row r="13" spans="1:4" ht="30.75" customHeight="1" x14ac:dyDescent="0.3">
      <c r="A13" s="16" t="s">
        <v>34</v>
      </c>
      <c r="B13" s="17">
        <v>0.15</v>
      </c>
      <c r="C13" s="18">
        <v>2</v>
      </c>
      <c r="D13" s="19">
        <f>B13*C13</f>
        <v>0.3</v>
      </c>
    </row>
    <row r="14" spans="1:4" ht="30" customHeight="1" x14ac:dyDescent="0.3">
      <c r="A14" s="8" t="s">
        <v>35</v>
      </c>
      <c r="B14" s="9">
        <v>0.12</v>
      </c>
      <c r="C14" s="10">
        <v>2</v>
      </c>
      <c r="D14" s="11">
        <f>B14*C14</f>
        <v>0.24</v>
      </c>
    </row>
    <row r="15" spans="1:4" ht="36" customHeight="1" x14ac:dyDescent="0.3">
      <c r="A15" s="16" t="s">
        <v>36</v>
      </c>
      <c r="B15" s="17">
        <v>0.08</v>
      </c>
      <c r="C15" s="18">
        <v>3</v>
      </c>
      <c r="D15" s="19">
        <f>B15*C15</f>
        <v>0.24</v>
      </c>
    </row>
    <row r="16" spans="1:4" ht="30" customHeight="1" x14ac:dyDescent="0.3">
      <c r="A16" s="8" t="s">
        <v>37</v>
      </c>
      <c r="B16" s="9">
        <v>0.05</v>
      </c>
      <c r="C16" s="10">
        <v>3</v>
      </c>
      <c r="D16" s="11">
        <f>B16*C16</f>
        <v>0.15000000000000002</v>
      </c>
    </row>
    <row r="17" spans="1:4" ht="33.75" customHeight="1" x14ac:dyDescent="0.3">
      <c r="A17" s="16" t="s">
        <v>38</v>
      </c>
      <c r="B17" s="17">
        <v>0.02</v>
      </c>
      <c r="C17" s="18">
        <v>2</v>
      </c>
      <c r="D17" s="19">
        <f>B17*C17</f>
        <v>0.04</v>
      </c>
    </row>
    <row r="18" spans="1:4" ht="18" customHeight="1" x14ac:dyDescent="0.3">
      <c r="A18" s="20" t="s">
        <v>39</v>
      </c>
      <c r="B18" s="21">
        <f>SUM(B13:B17)</f>
        <v>0.42000000000000004</v>
      </c>
      <c r="C18" s="22"/>
      <c r="D18" s="23">
        <f>SUM(D13:D17)</f>
        <v>0.97000000000000008</v>
      </c>
    </row>
    <row r="19" spans="1:4" ht="24" customHeight="1" x14ac:dyDescent="0.3">
      <c r="A19" s="24" t="s">
        <v>40</v>
      </c>
      <c r="B19" s="25">
        <f>B11+B18</f>
        <v>0.99999999999999989</v>
      </c>
      <c r="C19" s="26"/>
      <c r="D19" s="27">
        <f>D11+D18</f>
        <v>3.12</v>
      </c>
    </row>
    <row r="20" spans="1:4" ht="19.5" customHeight="1" x14ac:dyDescent="0.3">
      <c r="A20" s="68" t="s">
        <v>41</v>
      </c>
      <c r="B20" s="68"/>
      <c r="C20" s="68"/>
      <c r="D20" s="68"/>
    </row>
  </sheetData>
  <mergeCells count="6">
    <mergeCell ref="A20:D20"/>
    <mergeCell ref="A1:D1"/>
    <mergeCell ref="A2:D2"/>
    <mergeCell ref="A4:D4"/>
    <mergeCell ref="A5:D5"/>
    <mergeCell ref="A12:D1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showGridLines="0" zoomScaleNormal="100" workbookViewId="0">
      <selection sqref="A1:E1"/>
    </sheetView>
  </sheetViews>
  <sheetFormatPr defaultColWidth="8.6640625" defaultRowHeight="14.4" x14ac:dyDescent="0.3"/>
  <cols>
    <col min="1" max="1" width="24" customWidth="1"/>
    <col min="2" max="2" width="3" customWidth="1"/>
    <col min="3" max="3" width="38" customWidth="1"/>
    <col min="4" max="4" width="3" customWidth="1"/>
    <col min="5" max="5" width="38" customWidth="1"/>
  </cols>
  <sheetData>
    <row r="1" spans="1:5" ht="30" customHeight="1" x14ac:dyDescent="0.3">
      <c r="A1" s="66" t="s">
        <v>42</v>
      </c>
      <c r="B1" s="66"/>
      <c r="C1" s="66"/>
      <c r="D1" s="66"/>
      <c r="E1" s="66"/>
    </row>
    <row r="2" spans="1:5" ht="18" customHeight="1" x14ac:dyDescent="0.3">
      <c r="A2" s="76" t="s">
        <v>43</v>
      </c>
      <c r="B2" s="76"/>
      <c r="C2" s="76"/>
      <c r="D2" s="76"/>
      <c r="E2" s="76"/>
    </row>
    <row r="3" spans="1:5" ht="30" customHeight="1" x14ac:dyDescent="0.3">
      <c r="A3" s="36"/>
      <c r="B3" s="36"/>
      <c r="C3" s="1" t="s">
        <v>44</v>
      </c>
      <c r="D3" s="36"/>
      <c r="E3" s="37" t="s">
        <v>45</v>
      </c>
    </row>
    <row r="4" spans="1:5" ht="21.75" customHeight="1" x14ac:dyDescent="0.3">
      <c r="A4" s="77" t="s">
        <v>46</v>
      </c>
      <c r="B4" s="36"/>
      <c r="C4" s="2" t="s">
        <v>7</v>
      </c>
      <c r="D4" s="36"/>
      <c r="E4" s="38" t="s">
        <v>14</v>
      </c>
    </row>
    <row r="5" spans="1:5" ht="90" customHeight="1" x14ac:dyDescent="0.3">
      <c r="A5" s="77"/>
      <c r="B5" s="36"/>
      <c r="C5" s="78" t="s">
        <v>47</v>
      </c>
      <c r="D5" s="36"/>
      <c r="E5" s="75" t="s">
        <v>48</v>
      </c>
    </row>
    <row r="6" spans="1:5" ht="18.75" customHeight="1" x14ac:dyDescent="0.3">
      <c r="A6" s="77"/>
      <c r="B6" s="36"/>
      <c r="C6" s="78"/>
      <c r="D6" s="36"/>
      <c r="E6" s="75"/>
    </row>
    <row r="7" spans="1:5" ht="21.75" customHeight="1" x14ac:dyDescent="0.3">
      <c r="A7" s="73" t="s">
        <v>49</v>
      </c>
      <c r="B7" s="36"/>
      <c r="C7" s="39" t="s">
        <v>26</v>
      </c>
      <c r="D7" s="36"/>
      <c r="E7" s="38" t="s">
        <v>33</v>
      </c>
    </row>
    <row r="8" spans="1:5" ht="105.75" customHeight="1" x14ac:dyDescent="0.3">
      <c r="A8" s="73"/>
      <c r="B8" s="36"/>
      <c r="C8" s="74" t="s">
        <v>50</v>
      </c>
      <c r="D8" s="36"/>
      <c r="E8" s="75" t="s">
        <v>51</v>
      </c>
    </row>
    <row r="9" spans="1:5" ht="132" customHeight="1" x14ac:dyDescent="0.3">
      <c r="A9" s="73"/>
      <c r="B9" s="36"/>
      <c r="C9" s="74"/>
      <c r="D9" s="36"/>
      <c r="E9" s="75"/>
    </row>
    <row r="10" spans="1:5" x14ac:dyDescent="0.3">
      <c r="B10" s="36"/>
      <c r="D10" s="36"/>
    </row>
  </sheetData>
  <mergeCells count="8">
    <mergeCell ref="A7:A9"/>
    <mergeCell ref="C8:C9"/>
    <mergeCell ref="E8:E9"/>
    <mergeCell ref="A1:E1"/>
    <mergeCell ref="A2:E2"/>
    <mergeCell ref="A4:A6"/>
    <mergeCell ref="C5:C6"/>
    <mergeCell ref="E5:E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
  <sheetViews>
    <sheetView showGridLines="0" tabSelected="1" topLeftCell="A4" zoomScaleNormal="100" workbookViewId="0">
      <selection sqref="A1:D1"/>
    </sheetView>
  </sheetViews>
  <sheetFormatPr defaultColWidth="8.6640625" defaultRowHeight="14.4" x14ac:dyDescent="0.3"/>
  <cols>
    <col min="1" max="1" width="18" customWidth="1"/>
    <col min="2" max="2" width="52" customWidth="1"/>
    <col min="3" max="3" width="36" customWidth="1"/>
  </cols>
  <sheetData>
    <row r="1" spans="1:4" ht="30" customHeight="1" x14ac:dyDescent="0.3">
      <c r="A1" s="66" t="s">
        <v>52</v>
      </c>
      <c r="B1" s="66"/>
      <c r="C1" s="66"/>
      <c r="D1" s="66"/>
    </row>
    <row r="2" spans="1:4" ht="18" customHeight="1" x14ac:dyDescent="0.3">
      <c r="A2" s="67" t="s">
        <v>53</v>
      </c>
      <c r="B2" s="67"/>
      <c r="C2" s="67"/>
    </row>
    <row r="3" spans="1:4" ht="21.75" customHeight="1" x14ac:dyDescent="0.3">
      <c r="A3" s="40" t="s">
        <v>54</v>
      </c>
      <c r="B3" s="41" t="s">
        <v>55</v>
      </c>
      <c r="C3" s="42" t="s">
        <v>56</v>
      </c>
    </row>
    <row r="4" spans="1:4" ht="145.5" customHeight="1" x14ac:dyDescent="0.3">
      <c r="A4" s="43" t="s">
        <v>57</v>
      </c>
      <c r="B4" s="44" t="s">
        <v>58</v>
      </c>
      <c r="C4" s="45" t="s">
        <v>59</v>
      </c>
    </row>
    <row r="5" spans="1:4" ht="158.25" customHeight="1" x14ac:dyDescent="0.3">
      <c r="A5" s="46" t="s">
        <v>60</v>
      </c>
      <c r="B5" s="47" t="s">
        <v>61</v>
      </c>
      <c r="C5" s="48" t="s">
        <v>62</v>
      </c>
    </row>
    <row r="6" spans="1:4" ht="162" customHeight="1" x14ac:dyDescent="0.3">
      <c r="A6" s="49" t="s">
        <v>63</v>
      </c>
      <c r="B6" s="45" t="s">
        <v>64</v>
      </c>
      <c r="C6" s="44" t="s">
        <v>65</v>
      </c>
    </row>
    <row r="7" spans="1:4" ht="158.25" customHeight="1" x14ac:dyDescent="0.3">
      <c r="A7" s="50" t="s">
        <v>66</v>
      </c>
      <c r="B7" s="51" t="s">
        <v>67</v>
      </c>
      <c r="C7" s="47" t="s">
        <v>68</v>
      </c>
    </row>
  </sheetData>
  <mergeCells count="2">
    <mergeCell ref="A1:D1"/>
    <mergeCell ref="A2:C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showGridLines="0" zoomScaleNormal="100" workbookViewId="0">
      <selection activeCell="B5" sqref="B5"/>
    </sheetView>
  </sheetViews>
  <sheetFormatPr defaultColWidth="8.6640625" defaultRowHeight="14.4" x14ac:dyDescent="0.3"/>
  <cols>
    <col min="1" max="1" width="16" customWidth="1"/>
    <col min="2" max="2" width="48" customWidth="1"/>
    <col min="3" max="3" width="30" customWidth="1"/>
    <col min="4" max="4" width="16.109375" customWidth="1"/>
  </cols>
  <sheetData>
    <row r="1" spans="1:4" ht="30" customHeight="1" x14ac:dyDescent="0.3">
      <c r="A1" s="66" t="s">
        <v>69</v>
      </c>
      <c r="B1" s="66"/>
      <c r="C1" s="66"/>
      <c r="D1" s="66"/>
    </row>
    <row r="2" spans="1:4" ht="18" customHeight="1" x14ac:dyDescent="0.3">
      <c r="A2" s="67" t="s">
        <v>70</v>
      </c>
      <c r="B2" s="67"/>
      <c r="C2" s="67"/>
      <c r="D2" s="67"/>
    </row>
    <row r="3" spans="1:4" ht="21.75" customHeight="1" x14ac:dyDescent="0.3">
      <c r="A3" s="40" t="s">
        <v>71</v>
      </c>
      <c r="B3" s="41" t="s">
        <v>72</v>
      </c>
      <c r="C3" s="42" t="s">
        <v>73</v>
      </c>
      <c r="D3" s="52" t="s">
        <v>74</v>
      </c>
    </row>
    <row r="4" spans="1:4" ht="125.25" customHeight="1" x14ac:dyDescent="0.3">
      <c r="A4" s="43" t="s">
        <v>75</v>
      </c>
      <c r="B4" s="47" t="s">
        <v>76</v>
      </c>
      <c r="C4" s="44" t="s">
        <v>77</v>
      </c>
      <c r="D4" s="53" t="s">
        <v>78</v>
      </c>
    </row>
    <row r="5" spans="1:4" ht="150" customHeight="1" x14ac:dyDescent="0.3">
      <c r="A5" s="49" t="s">
        <v>79</v>
      </c>
      <c r="B5" s="45" t="e" cm="1">
        <f t="array" ref="B5">IFAS</f>
        <v>#NAME?</v>
      </c>
      <c r="C5" s="48" t="s">
        <v>80</v>
      </c>
      <c r="D5" s="53" t="s">
        <v>78</v>
      </c>
    </row>
    <row r="6" spans="1:4" ht="146.25" customHeight="1" x14ac:dyDescent="0.3">
      <c r="A6" s="54" t="s">
        <v>81</v>
      </c>
      <c r="B6" s="44" t="s">
        <v>82</v>
      </c>
      <c r="C6" s="45" t="s">
        <v>83</v>
      </c>
      <c r="D6" s="53" t="s">
        <v>78</v>
      </c>
    </row>
    <row r="7" spans="1:4" ht="147.75" customHeight="1" x14ac:dyDescent="0.3">
      <c r="A7" s="55" t="s">
        <v>84</v>
      </c>
      <c r="B7" s="47" t="s">
        <v>85</v>
      </c>
      <c r="C7" s="48" t="s">
        <v>86</v>
      </c>
      <c r="D7" s="56" t="s">
        <v>87</v>
      </c>
    </row>
    <row r="8" spans="1:4" ht="141" customHeight="1" x14ac:dyDescent="0.3">
      <c r="A8" s="50" t="s">
        <v>88</v>
      </c>
      <c r="B8" s="51" t="s">
        <v>89</v>
      </c>
      <c r="C8" s="57" t="s">
        <v>90</v>
      </c>
      <c r="D8" s="56" t="s">
        <v>87</v>
      </c>
    </row>
    <row r="9" spans="1:4" ht="151.5" customHeight="1" x14ac:dyDescent="0.3">
      <c r="A9" s="58" t="s">
        <v>91</v>
      </c>
      <c r="B9" s="45" t="s">
        <v>92</v>
      </c>
      <c r="C9" s="48" t="s">
        <v>93</v>
      </c>
      <c r="D9" s="56" t="s">
        <v>87</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3"/>
  <sheetViews>
    <sheetView showGridLines="0" topLeftCell="A10" zoomScaleNormal="100" workbookViewId="0">
      <selection activeCell="B13" sqref="B13"/>
    </sheetView>
  </sheetViews>
  <sheetFormatPr defaultColWidth="8.6640625" defaultRowHeight="14.4" x14ac:dyDescent="0.3"/>
  <cols>
    <col min="1" max="1" width="5" customWidth="1"/>
    <col min="2" max="2" width="138" customWidth="1"/>
    <col min="3" max="3" width="5" customWidth="1"/>
  </cols>
  <sheetData>
    <row r="1" spans="1:3" ht="36" customHeight="1" x14ac:dyDescent="0.3">
      <c r="A1" s="79" t="s">
        <v>94</v>
      </c>
      <c r="B1" s="79"/>
      <c r="C1" s="79"/>
    </row>
    <row r="2" spans="1:3" ht="18" customHeight="1" x14ac:dyDescent="0.3">
      <c r="A2" s="76" t="s">
        <v>103</v>
      </c>
      <c r="B2" s="76"/>
      <c r="C2" s="76"/>
    </row>
    <row r="3" spans="1:3" ht="27.75" customHeight="1" x14ac:dyDescent="0.3">
      <c r="B3" s="59" t="s">
        <v>95</v>
      </c>
    </row>
    <row r="4" spans="1:3" ht="132" customHeight="1" x14ac:dyDescent="0.3">
      <c r="B4" s="8" t="s">
        <v>96</v>
      </c>
    </row>
    <row r="5" spans="1:3" ht="7.5" customHeight="1" x14ac:dyDescent="0.3"/>
    <row r="6" spans="1:3" ht="24" customHeight="1" x14ac:dyDescent="0.3">
      <c r="B6" s="60" t="s">
        <v>97</v>
      </c>
    </row>
    <row r="7" spans="1:3" ht="222.75" customHeight="1" x14ac:dyDescent="0.3">
      <c r="B7" s="8" t="s">
        <v>104</v>
      </c>
    </row>
    <row r="8" spans="1:3" ht="7.5" customHeight="1" x14ac:dyDescent="0.3"/>
    <row r="9" spans="1:3" ht="24" customHeight="1" x14ac:dyDescent="0.3">
      <c r="B9" s="61" t="s">
        <v>98</v>
      </c>
    </row>
    <row r="10" spans="1:3" ht="219" customHeight="1" x14ac:dyDescent="0.3">
      <c r="B10" s="8" t="s">
        <v>105</v>
      </c>
    </row>
    <row r="11" spans="1:3" ht="7.5" customHeight="1" x14ac:dyDescent="0.3"/>
    <row r="12" spans="1:3" ht="24" customHeight="1" x14ac:dyDescent="0.3">
      <c r="B12" s="62" t="s">
        <v>99</v>
      </c>
    </row>
    <row r="13" spans="1:3" ht="259.5" customHeight="1" x14ac:dyDescent="0.3">
      <c r="B13" s="8" t="s">
        <v>109</v>
      </c>
    </row>
    <row r="14" spans="1:3" ht="7.5" customHeight="1" x14ac:dyDescent="0.3"/>
    <row r="15" spans="1:3" ht="24" customHeight="1" x14ac:dyDescent="0.3">
      <c r="B15" s="63" t="s">
        <v>100</v>
      </c>
    </row>
    <row r="16" spans="1:3" ht="223.5" customHeight="1" x14ac:dyDescent="0.3">
      <c r="B16" s="8" t="s">
        <v>108</v>
      </c>
    </row>
    <row r="17" spans="2:2" ht="7.5" customHeight="1" x14ac:dyDescent="0.3"/>
    <row r="18" spans="2:2" ht="24" customHeight="1" x14ac:dyDescent="0.3">
      <c r="B18" s="64" t="s">
        <v>101</v>
      </c>
    </row>
    <row r="19" spans="2:2" ht="409.5" customHeight="1" x14ac:dyDescent="0.3">
      <c r="B19" s="8" t="s">
        <v>107</v>
      </c>
    </row>
    <row r="20" spans="2:2" ht="7.5" customHeight="1" x14ac:dyDescent="0.3"/>
    <row r="21" spans="2:2" ht="21.75" customHeight="1" x14ac:dyDescent="0.3">
      <c r="B21" s="65" t="s">
        <v>102</v>
      </c>
    </row>
    <row r="22" spans="2:2" ht="409.5" customHeight="1" x14ac:dyDescent="0.3">
      <c r="B22" s="8" t="s">
        <v>106</v>
      </c>
    </row>
    <row r="23" spans="2:2" ht="7.5" customHeight="1" x14ac:dyDescent="0.3"/>
  </sheetData>
  <mergeCells count="2">
    <mergeCell ref="A1:C1"/>
    <mergeCell ref="A2:C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IFAS</vt:lpstr>
      <vt:lpstr>EFAS</vt:lpstr>
      <vt:lpstr>SWOT Matrix</vt:lpstr>
      <vt:lpstr>VUCA Chart</vt:lpstr>
      <vt:lpstr>PESTLE Chart</vt:lpstr>
      <vt:lpstr>Strategic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Denise Hines</dc:creator>
  <dc:description/>
  <cp:lastModifiedBy>Denise Hines</cp:lastModifiedBy>
  <dcterms:created xsi:type="dcterms:W3CDTF">2026-06-24T09:40:10Z</dcterms:created>
  <dcterms:modified xsi:type="dcterms:W3CDTF">2026-07-09T14:40:02Z</dcterms:modified>
  <dc:language>en-US</dc:language>
</cp:coreProperties>
</file>