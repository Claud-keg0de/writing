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dig\Downloads\"/>
    </mc:Choice>
  </mc:AlternateContent>
  <xr:revisionPtr revIDLastSave="0" documentId="13_ncr:1_{A38C22D2-97CE-4188-9645-F7A9C6433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Project" sheetId="1" r:id="rId1"/>
    <sheet name="Mortgage" sheetId="3" r:id="rId2"/>
  </sheets>
  <definedNames>
    <definedName name="_xlnm.Print_Area" localSheetId="0">'Financial Project'!$B$2:$M$69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34" i="1"/>
  <c r="AM17" i="1"/>
  <c r="AN17" i="1"/>
  <c r="AO17" i="1"/>
  <c r="AP17" i="1"/>
  <c r="AQ17" i="1"/>
  <c r="AR17" i="1"/>
  <c r="AS17" i="1"/>
  <c r="AT17" i="1"/>
  <c r="AU17" i="1"/>
  <c r="AL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E17" i="1"/>
  <c r="B7" i="3"/>
  <c r="E1" i="3"/>
  <c r="F1" i="3"/>
  <c r="AJ21" i="1"/>
  <c r="AJ36" i="1"/>
  <c r="AJ31" i="1"/>
  <c r="AJ34" i="1"/>
  <c r="AJ37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E45" i="1"/>
  <c r="AU37" i="1"/>
  <c r="AT37" i="1"/>
  <c r="AS37" i="1"/>
  <c r="AR37" i="1"/>
  <c r="AQ37" i="1"/>
  <c r="AP37" i="1"/>
  <c r="AO37" i="1"/>
  <c r="AN37" i="1"/>
  <c r="AM37" i="1"/>
  <c r="AL37" i="1"/>
  <c r="AK37" i="1"/>
  <c r="AI37" i="1"/>
  <c r="AH37" i="1"/>
  <c r="AG37" i="1"/>
  <c r="AF37" i="1"/>
  <c r="AE37" i="1"/>
  <c r="AD37" i="1"/>
  <c r="AB37" i="1"/>
  <c r="W37" i="1"/>
  <c r="D37" i="1"/>
  <c r="D65" i="1"/>
  <c r="AV26" i="1"/>
  <c r="AC23" i="1"/>
  <c r="AC37" i="1"/>
  <c r="X23" i="1"/>
  <c r="Y23" i="1"/>
  <c r="Y37" i="1"/>
  <c r="E23" i="1"/>
  <c r="E37" i="1"/>
  <c r="E2" i="1"/>
  <c r="F2" i="1"/>
  <c r="G2" i="1"/>
  <c r="H2" i="1"/>
  <c r="I2" i="1"/>
  <c r="J2" i="1"/>
  <c r="K2" i="1"/>
  <c r="L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E21" i="1"/>
  <c r="F21" i="1"/>
  <c r="AK21" i="1"/>
  <c r="AK36" i="1"/>
  <c r="AP21" i="1"/>
  <c r="AQ21" i="1"/>
  <c r="AV22" i="1"/>
  <c r="AV24" i="1"/>
  <c r="AV25" i="1"/>
  <c r="AV27" i="1"/>
  <c r="AH31" i="1"/>
  <c r="AH34" i="1"/>
  <c r="AI31" i="1"/>
  <c r="AI34" i="1"/>
  <c r="AJ35" i="1"/>
  <c r="AN31" i="1"/>
  <c r="AN34" i="1"/>
  <c r="AO35" i="1"/>
  <c r="AO31" i="1"/>
  <c r="AO34" i="1"/>
  <c r="AP35" i="1"/>
  <c r="D36" i="1"/>
  <c r="D64" i="1"/>
  <c r="AH36" i="1"/>
  <c r="AI36" i="1"/>
  <c r="AN36" i="1"/>
  <c r="AO36" i="1"/>
  <c r="AV38" i="1"/>
  <c r="AV39" i="1"/>
  <c r="AV40" i="1"/>
  <c r="E42" i="1"/>
  <c r="F42" i="1"/>
  <c r="G42" i="1"/>
  <c r="H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E44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AV47" i="1"/>
  <c r="E48" i="1"/>
  <c r="AH48" i="1"/>
  <c r="AI48" i="1"/>
  <c r="AJ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E50" i="1"/>
  <c r="F50" i="1"/>
  <c r="N50" i="1"/>
  <c r="O50" i="1"/>
  <c r="P50" i="1"/>
  <c r="Q50" i="1"/>
  <c r="S50" i="1"/>
  <c r="T50" i="1"/>
  <c r="U50" i="1"/>
  <c r="V50" i="1"/>
  <c r="X50" i="1"/>
  <c r="Y50" i="1"/>
  <c r="Z50" i="1"/>
  <c r="AA50" i="1"/>
  <c r="AC50" i="1"/>
  <c r="AD50" i="1"/>
  <c r="AE50" i="1"/>
  <c r="AF50" i="1"/>
  <c r="AH50" i="1"/>
  <c r="AI50" i="1"/>
  <c r="AJ50" i="1"/>
  <c r="E51" i="1"/>
  <c r="F51" i="1"/>
  <c r="G51" i="1"/>
  <c r="H51" i="1"/>
  <c r="I51" i="1"/>
  <c r="J51" i="1"/>
  <c r="K51" i="1"/>
  <c r="S51" i="1"/>
  <c r="T51" i="1"/>
  <c r="U51" i="1"/>
  <c r="V51" i="1"/>
  <c r="X51" i="1"/>
  <c r="Y51" i="1"/>
  <c r="Z51" i="1"/>
  <c r="AA51" i="1"/>
  <c r="AC51" i="1"/>
  <c r="AD51" i="1"/>
  <c r="AE51" i="1"/>
  <c r="AF51" i="1"/>
  <c r="AG51" i="1"/>
  <c r="AH51" i="1"/>
  <c r="AI51" i="1"/>
  <c r="AV52" i="1"/>
  <c r="E53" i="1"/>
  <c r="S53" i="1"/>
  <c r="T53" i="1"/>
  <c r="U53" i="1"/>
  <c r="V53" i="1"/>
  <c r="X53" i="1"/>
  <c r="Y53" i="1"/>
  <c r="Z53" i="1"/>
  <c r="AA53" i="1"/>
  <c r="AC53" i="1"/>
  <c r="AD53" i="1"/>
  <c r="AE53" i="1"/>
  <c r="AF53" i="1"/>
  <c r="AG53" i="1"/>
  <c r="AH53" i="1"/>
  <c r="AI53" i="1"/>
  <c r="AU61" i="1"/>
  <c r="AU62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D71" i="1"/>
  <c r="A8" i="3"/>
  <c r="B8" i="3"/>
  <c r="D30" i="3"/>
  <c r="D42" i="3"/>
  <c r="D54" i="3"/>
  <c r="D66" i="3"/>
  <c r="D78" i="3"/>
  <c r="D90" i="3"/>
  <c r="D102" i="3"/>
  <c r="D114" i="3"/>
  <c r="D126" i="3"/>
  <c r="D138" i="3"/>
  <c r="D150" i="3"/>
  <c r="D162" i="3"/>
  <c r="D174" i="3"/>
  <c r="D186" i="3"/>
  <c r="E2" i="3"/>
  <c r="E3" i="3"/>
  <c r="A9" i="3"/>
  <c r="B9" i="3"/>
  <c r="P41" i="1"/>
  <c r="O41" i="1"/>
  <c r="AK48" i="1"/>
  <c r="AL48" i="1"/>
  <c r="AM48" i="1"/>
  <c r="AN48" i="1"/>
  <c r="AO48" i="1"/>
  <c r="AP48" i="1"/>
  <c r="AQ48" i="1"/>
  <c r="AR48" i="1"/>
  <c r="AS48" i="1"/>
  <c r="AT48" i="1"/>
  <c r="AU48" i="1"/>
  <c r="AP31" i="1"/>
  <c r="AP34" i="1"/>
  <c r="AQ35" i="1"/>
  <c r="AK2" i="1"/>
  <c r="AL2" i="1"/>
  <c r="AM2" i="1"/>
  <c r="AN2" i="1"/>
  <c r="AO2" i="1"/>
  <c r="AP2" i="1"/>
  <c r="AQ2" i="1"/>
  <c r="AR2" i="1"/>
  <c r="AS2" i="1"/>
  <c r="AT2" i="1"/>
  <c r="AU2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J43" i="1"/>
  <c r="AK43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K50" i="1"/>
  <c r="AL50" i="1"/>
  <c r="AM50" i="1"/>
  <c r="AN50" i="1"/>
  <c r="AO50" i="1"/>
  <c r="AP50" i="1"/>
  <c r="AQ50" i="1"/>
  <c r="AR50" i="1"/>
  <c r="AS50" i="1"/>
  <c r="AT50" i="1"/>
  <c r="AU50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P36" i="1"/>
  <c r="AJ67" i="1"/>
  <c r="AK67" i="1"/>
  <c r="AL67" i="1"/>
  <c r="AM67" i="1"/>
  <c r="AN67" i="1"/>
  <c r="AO67" i="1"/>
  <c r="AJ51" i="1"/>
  <c r="AK51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J66" i="1"/>
  <c r="AK66" i="1"/>
  <c r="AR21" i="1"/>
  <c r="AQ36" i="1"/>
  <c r="E36" i="1"/>
  <c r="E6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X37" i="1"/>
  <c r="F45" i="1"/>
  <c r="AQ31" i="1"/>
  <c r="AQ34" i="1"/>
  <c r="AR35" i="1"/>
  <c r="AK35" i="1"/>
  <c r="AI35" i="1"/>
  <c r="Z23" i="1"/>
  <c r="Z37" i="1"/>
  <c r="F23" i="1"/>
  <c r="F37" i="1"/>
  <c r="E65" i="1"/>
  <c r="G50" i="1"/>
  <c r="H50" i="1"/>
  <c r="I50" i="1"/>
  <c r="J50" i="1"/>
  <c r="K50" i="1"/>
  <c r="L50" i="1"/>
  <c r="AB49" i="1"/>
  <c r="AC49" i="1"/>
  <c r="AD49" i="1"/>
  <c r="AE49" i="1"/>
  <c r="AF49" i="1"/>
  <c r="AG49" i="1"/>
  <c r="AH49" i="1"/>
  <c r="AI49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F53" i="1"/>
  <c r="G53" i="1"/>
  <c r="H53" i="1"/>
  <c r="I53" i="1"/>
  <c r="J53" i="1"/>
  <c r="K53" i="1"/>
  <c r="L53" i="1"/>
  <c r="M53" i="1"/>
  <c r="N53" i="1"/>
  <c r="O53" i="1"/>
  <c r="P53" i="1"/>
  <c r="Q53" i="1"/>
  <c r="A10" i="3"/>
  <c r="B10" i="3"/>
  <c r="C7" i="3"/>
  <c r="C8" i="3"/>
  <c r="L51" i="1"/>
  <c r="M51" i="1"/>
  <c r="N51" i="1"/>
  <c r="O51" i="1"/>
  <c r="P51" i="1"/>
  <c r="Q51" i="1"/>
  <c r="I41" i="1"/>
  <c r="R41" i="1"/>
  <c r="G41" i="1"/>
  <c r="F41" i="1"/>
  <c r="K41" i="1"/>
  <c r="J41" i="1"/>
  <c r="D41" i="1"/>
  <c r="E41" i="1"/>
  <c r="N41" i="1"/>
  <c r="L41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H41" i="1"/>
  <c r="F36" i="1"/>
  <c r="G21" i="1"/>
  <c r="Q41" i="1"/>
  <c r="I42" i="1"/>
  <c r="M41" i="1"/>
  <c r="AK31" i="1"/>
  <c r="AK34" i="1"/>
  <c r="AL21" i="1"/>
  <c r="E31" i="1"/>
  <c r="E34" i="1"/>
  <c r="L45" i="1"/>
  <c r="Z45" i="1"/>
  <c r="AE45" i="1"/>
  <c r="AI45" i="1"/>
  <c r="Y45" i="1"/>
  <c r="AG45" i="1"/>
  <c r="O45" i="1"/>
  <c r="I45" i="1"/>
  <c r="G45" i="1"/>
  <c r="AL51" i="1"/>
  <c r="AM51" i="1"/>
  <c r="AN51" i="1"/>
  <c r="AO51" i="1"/>
  <c r="AP51" i="1"/>
  <c r="AQ51" i="1"/>
  <c r="AR51" i="1"/>
  <c r="AS51" i="1"/>
  <c r="AT51" i="1"/>
  <c r="AU51" i="1"/>
  <c r="AL43" i="1"/>
  <c r="AM43" i="1"/>
  <c r="AN43" i="1"/>
  <c r="AO43" i="1"/>
  <c r="AP43" i="1"/>
  <c r="AQ43" i="1"/>
  <c r="AR43" i="1"/>
  <c r="AS43" i="1"/>
  <c r="AT43" i="1"/>
  <c r="AU43" i="1"/>
  <c r="AJ49" i="1"/>
  <c r="AK49" i="1"/>
  <c r="X45" i="1"/>
  <c r="AJ45" i="1"/>
  <c r="AJ44" i="1"/>
  <c r="AK44" i="1"/>
  <c r="AV53" i="1"/>
  <c r="AJ46" i="1"/>
  <c r="AK46" i="1"/>
  <c r="AD45" i="1"/>
  <c r="P45" i="1"/>
  <c r="AC45" i="1"/>
  <c r="M45" i="1"/>
  <c r="N45" i="1"/>
  <c r="K45" i="1"/>
  <c r="J45" i="1"/>
  <c r="AF45" i="1"/>
  <c r="H45" i="1"/>
  <c r="S45" i="1"/>
  <c r="F35" i="1"/>
  <c r="T45" i="1"/>
  <c r="AA45" i="1"/>
  <c r="V45" i="1"/>
  <c r="Q45" i="1"/>
  <c r="AH45" i="1"/>
  <c r="U45" i="1"/>
  <c r="AR36" i="1"/>
  <c r="AS21" i="1"/>
  <c r="AR31" i="1"/>
  <c r="AR34" i="1"/>
  <c r="AS35" i="1"/>
  <c r="F31" i="1"/>
  <c r="F34" i="1"/>
  <c r="AV50" i="1"/>
  <c r="J42" i="1"/>
  <c r="AL35" i="1"/>
  <c r="F65" i="1"/>
  <c r="G23" i="1"/>
  <c r="G37" i="1"/>
  <c r="AA23" i="1"/>
  <c r="AA37" i="1"/>
  <c r="H21" i="1"/>
  <c r="G36" i="1"/>
  <c r="G31" i="1"/>
  <c r="G34" i="1"/>
  <c r="H35" i="1"/>
  <c r="AL31" i="1"/>
  <c r="AL34" i="1"/>
  <c r="AM35" i="1"/>
  <c r="AL36" i="1"/>
  <c r="AM21" i="1"/>
  <c r="AV41" i="1"/>
  <c r="AV48" i="1"/>
  <c r="C9" i="3"/>
  <c r="C10" i="3"/>
  <c r="F64" i="1"/>
  <c r="A11" i="3"/>
  <c r="B11" i="3"/>
  <c r="AV51" i="1"/>
  <c r="AV43" i="1"/>
  <c r="AL46" i="1"/>
  <c r="AM46" i="1"/>
  <c r="AN46" i="1"/>
  <c r="AO46" i="1"/>
  <c r="AP46" i="1"/>
  <c r="AQ46" i="1"/>
  <c r="AR46" i="1"/>
  <c r="AS46" i="1"/>
  <c r="AT46" i="1"/>
  <c r="AU46" i="1"/>
  <c r="AL44" i="1"/>
  <c r="AL45" i="1"/>
  <c r="AL49" i="1"/>
  <c r="AM49" i="1"/>
  <c r="AN49" i="1"/>
  <c r="AO49" i="1"/>
  <c r="AP49" i="1"/>
  <c r="AQ49" i="1"/>
  <c r="AR49" i="1"/>
  <c r="AS49" i="1"/>
  <c r="AT49" i="1"/>
  <c r="AU49" i="1"/>
  <c r="AK45" i="1"/>
  <c r="AT21" i="1"/>
  <c r="AS31" i="1"/>
  <c r="AS34" i="1"/>
  <c r="AT35" i="1"/>
  <c r="AS36" i="1"/>
  <c r="F56" i="1"/>
  <c r="F58" i="1"/>
  <c r="G35" i="1"/>
  <c r="G56" i="1"/>
  <c r="G58" i="1"/>
  <c r="K42" i="1"/>
  <c r="G65" i="1"/>
  <c r="H23" i="1"/>
  <c r="H37" i="1"/>
  <c r="G64" i="1"/>
  <c r="AM31" i="1"/>
  <c r="AM34" i="1"/>
  <c r="AN35" i="1"/>
  <c r="AM36" i="1"/>
  <c r="A12" i="3"/>
  <c r="B12" i="3"/>
  <c r="H36" i="1"/>
  <c r="I21" i="1"/>
  <c r="AV46" i="1"/>
  <c r="AV49" i="1"/>
  <c r="AM44" i="1"/>
  <c r="AM45" i="1"/>
  <c r="AT31" i="1"/>
  <c r="AT34" i="1"/>
  <c r="AU35" i="1"/>
  <c r="AT36" i="1"/>
  <c r="AU21" i="1"/>
  <c r="H31" i="1"/>
  <c r="H34" i="1"/>
  <c r="L42" i="1"/>
  <c r="H64" i="1"/>
  <c r="I23" i="1"/>
  <c r="H65" i="1"/>
  <c r="J21" i="1"/>
  <c r="I36" i="1"/>
  <c r="A13" i="3"/>
  <c r="B13" i="3"/>
  <c r="C11" i="3"/>
  <c r="AN44" i="1"/>
  <c r="AN45" i="1"/>
  <c r="AU31" i="1"/>
  <c r="AU34" i="1"/>
  <c r="AU36" i="1"/>
  <c r="I31" i="1"/>
  <c r="I34" i="1"/>
  <c r="I37" i="1"/>
  <c r="I65" i="1"/>
  <c r="I35" i="1"/>
  <c r="H56" i="1"/>
  <c r="M42" i="1"/>
  <c r="I64" i="1"/>
  <c r="J23" i="1"/>
  <c r="J37" i="1"/>
  <c r="A14" i="3"/>
  <c r="B14" i="3"/>
  <c r="J36" i="1"/>
  <c r="K21" i="1"/>
  <c r="C12" i="3"/>
  <c r="AO44" i="1"/>
  <c r="AO45" i="1"/>
  <c r="J31" i="1"/>
  <c r="J34" i="1"/>
  <c r="K35" i="1"/>
  <c r="J35" i="1"/>
  <c r="J56" i="1"/>
  <c r="I56" i="1"/>
  <c r="I58" i="1"/>
  <c r="N42" i="1"/>
  <c r="J64" i="1"/>
  <c r="J65" i="1"/>
  <c r="K23" i="1"/>
  <c r="K37" i="1"/>
  <c r="H58" i="1"/>
  <c r="C13" i="3"/>
  <c r="A15" i="3"/>
  <c r="B15" i="3"/>
  <c r="K36" i="1"/>
  <c r="L21" i="1"/>
  <c r="AP44" i="1"/>
  <c r="AP45" i="1"/>
  <c r="O42" i="1"/>
  <c r="K64" i="1"/>
  <c r="J58" i="1"/>
  <c r="K65" i="1"/>
  <c r="L23" i="1"/>
  <c r="L37" i="1"/>
  <c r="K31" i="1"/>
  <c r="K34" i="1"/>
  <c r="A16" i="3"/>
  <c r="B16" i="3"/>
  <c r="C14" i="3"/>
  <c r="C15" i="3"/>
  <c r="M21" i="1"/>
  <c r="L36" i="1"/>
  <c r="AQ44" i="1"/>
  <c r="AQ45" i="1"/>
  <c r="L35" i="1"/>
  <c r="K56" i="1"/>
  <c r="K58" i="1"/>
  <c r="P42" i="1"/>
  <c r="L64" i="1"/>
  <c r="L65" i="1"/>
  <c r="M23" i="1"/>
  <c r="M37" i="1"/>
  <c r="L31" i="1"/>
  <c r="M36" i="1"/>
  <c r="N21" i="1"/>
  <c r="A17" i="3"/>
  <c r="B17" i="3"/>
  <c r="C16" i="3"/>
  <c r="M31" i="1"/>
  <c r="M34" i="1"/>
  <c r="N35" i="1"/>
  <c r="AR44" i="1"/>
  <c r="AR45" i="1"/>
  <c r="L34" i="1"/>
  <c r="Q42" i="1"/>
  <c r="M64" i="1"/>
  <c r="M65" i="1"/>
  <c r="N23" i="1"/>
  <c r="N37" i="1"/>
  <c r="C17" i="3"/>
  <c r="D61" i="1"/>
  <c r="A18" i="3"/>
  <c r="B18" i="3"/>
  <c r="O21" i="1"/>
  <c r="N36" i="1"/>
  <c r="AS44" i="1"/>
  <c r="AS45" i="1"/>
  <c r="M35" i="1"/>
  <c r="M56" i="1"/>
  <c r="M58" i="1"/>
  <c r="L56" i="1"/>
  <c r="L58" i="1"/>
  <c r="N31" i="1"/>
  <c r="N34" i="1"/>
  <c r="R42" i="1"/>
  <c r="N64" i="1"/>
  <c r="N65" i="1"/>
  <c r="O23" i="1"/>
  <c r="O37" i="1"/>
  <c r="P21" i="1"/>
  <c r="O36" i="1"/>
  <c r="A19" i="3"/>
  <c r="B19" i="3"/>
  <c r="F18" i="3"/>
  <c r="AT44" i="1"/>
  <c r="AT45" i="1"/>
  <c r="O31" i="1"/>
  <c r="O34" i="1"/>
  <c r="P35" i="1"/>
  <c r="O35" i="1"/>
  <c r="N56" i="1"/>
  <c r="N58" i="1"/>
  <c r="S42" i="1"/>
  <c r="O64" i="1"/>
  <c r="O65" i="1"/>
  <c r="P23" i="1"/>
  <c r="P37" i="1"/>
  <c r="A20" i="3"/>
  <c r="B20" i="3"/>
  <c r="Q21" i="1"/>
  <c r="P36" i="1"/>
  <c r="C18" i="3"/>
  <c r="P64" i="1"/>
  <c r="AU44" i="1"/>
  <c r="AU45" i="1"/>
  <c r="O56" i="1"/>
  <c r="O58" i="1"/>
  <c r="T42" i="1"/>
  <c r="P65" i="1"/>
  <c r="Q23" i="1"/>
  <c r="Q37" i="1"/>
  <c r="P31" i="1"/>
  <c r="P34" i="1"/>
  <c r="R21" i="1"/>
  <c r="Q36" i="1"/>
  <c r="E18" i="3"/>
  <c r="C19" i="3"/>
  <c r="A21" i="3"/>
  <c r="B21" i="3"/>
  <c r="Q64" i="1"/>
  <c r="AV45" i="1"/>
  <c r="AV44" i="1"/>
  <c r="Q35" i="1"/>
  <c r="P56" i="1"/>
  <c r="P58" i="1"/>
  <c r="U42" i="1"/>
  <c r="Q65" i="1"/>
  <c r="R23" i="1"/>
  <c r="R37" i="1"/>
  <c r="Q31" i="1"/>
  <c r="Q34" i="1"/>
  <c r="G18" i="3"/>
  <c r="A22" i="3"/>
  <c r="B22" i="3"/>
  <c r="S21" i="1"/>
  <c r="R36" i="1"/>
  <c r="C20" i="3"/>
  <c r="C21" i="3"/>
  <c r="R64" i="1"/>
  <c r="R35" i="1"/>
  <c r="Q56" i="1"/>
  <c r="Q58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J56" i="1"/>
  <c r="AJ58" i="1"/>
  <c r="R65" i="1"/>
  <c r="S23" i="1"/>
  <c r="S37" i="1"/>
  <c r="R31" i="1"/>
  <c r="R34" i="1"/>
  <c r="T21" i="1"/>
  <c r="S36" i="1"/>
  <c r="A23" i="3"/>
  <c r="B23" i="3"/>
  <c r="C22" i="3"/>
  <c r="S64" i="1"/>
  <c r="S35" i="1"/>
  <c r="R56" i="1"/>
  <c r="R58" i="1"/>
  <c r="S31" i="1"/>
  <c r="S34" i="1"/>
  <c r="AI56" i="1"/>
  <c r="AI58" i="1"/>
  <c r="S65" i="1"/>
  <c r="T23" i="1"/>
  <c r="T37" i="1"/>
  <c r="T36" i="1"/>
  <c r="U21" i="1"/>
  <c r="A24" i="3"/>
  <c r="B24" i="3"/>
  <c r="C23" i="3"/>
  <c r="T64" i="1"/>
  <c r="T31" i="1"/>
  <c r="T34" i="1"/>
  <c r="T35" i="1"/>
  <c r="S56" i="1"/>
  <c r="S58" i="1"/>
  <c r="AK42" i="1"/>
  <c r="T65" i="1"/>
  <c r="U23" i="1"/>
  <c r="U36" i="1"/>
  <c r="U64" i="1"/>
  <c r="V21" i="1"/>
  <c r="C24" i="3"/>
  <c r="A25" i="3"/>
  <c r="B25" i="3"/>
  <c r="U31" i="1"/>
  <c r="U34" i="1"/>
  <c r="U37" i="1"/>
  <c r="U65" i="1"/>
  <c r="U35" i="1"/>
  <c r="T56" i="1"/>
  <c r="T58" i="1"/>
  <c r="AL42" i="1"/>
  <c r="AK56" i="1"/>
  <c r="AK58" i="1"/>
  <c r="V23" i="1"/>
  <c r="V37" i="1"/>
  <c r="W21" i="1"/>
  <c r="V36" i="1"/>
  <c r="V64" i="1"/>
  <c r="C25" i="3"/>
  <c r="A26" i="3"/>
  <c r="B26" i="3"/>
  <c r="V35" i="1"/>
  <c r="U56" i="1"/>
  <c r="U58" i="1"/>
  <c r="AM42" i="1"/>
  <c r="AL56" i="1"/>
  <c r="AL58" i="1"/>
  <c r="AV37" i="1"/>
  <c r="AV23" i="1"/>
  <c r="V31" i="1"/>
  <c r="V34" i="1"/>
  <c r="W31" i="1"/>
  <c r="W34" i="1"/>
  <c r="W36" i="1"/>
  <c r="W64" i="1"/>
  <c r="X21" i="1"/>
  <c r="C26" i="3"/>
  <c r="A27" i="3"/>
  <c r="B27" i="3"/>
  <c r="AN42" i="1"/>
  <c r="AM56" i="1"/>
  <c r="AM58" i="1"/>
  <c r="W35" i="1"/>
  <c r="W56" i="1"/>
  <c r="W58" i="1"/>
  <c r="V56" i="1"/>
  <c r="V58" i="1"/>
  <c r="X3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X36" i="1"/>
  <c r="X64" i="1"/>
  <c r="Y21" i="1"/>
  <c r="X31" i="1"/>
  <c r="X34" i="1"/>
  <c r="C27" i="3"/>
  <c r="A28" i="3"/>
  <c r="B28" i="3"/>
  <c r="AJ65" i="1"/>
  <c r="AK65" i="1"/>
  <c r="AL65" i="1"/>
  <c r="AM65" i="1"/>
  <c r="AN65" i="1"/>
  <c r="AO65" i="1"/>
  <c r="AP65" i="1"/>
  <c r="AQ65" i="1"/>
  <c r="AR65" i="1"/>
  <c r="AS65" i="1"/>
  <c r="AT65" i="1"/>
  <c r="AU65" i="1"/>
  <c r="AO42" i="1"/>
  <c r="AN56" i="1"/>
  <c r="AN58" i="1"/>
  <c r="Y35" i="1"/>
  <c r="X56" i="1"/>
  <c r="X58" i="1"/>
  <c r="Y31" i="1"/>
  <c r="Y34" i="1"/>
  <c r="Z21" i="1"/>
  <c r="Y36" i="1"/>
  <c r="Y64" i="1"/>
  <c r="A29" i="3"/>
  <c r="B29" i="3"/>
  <c r="C28" i="3"/>
  <c r="AP42" i="1"/>
  <c r="AO56" i="1"/>
  <c r="AO58" i="1"/>
  <c r="Y56" i="1"/>
  <c r="Y58" i="1"/>
  <c r="Z35" i="1"/>
  <c r="AA21" i="1"/>
  <c r="Z36" i="1"/>
  <c r="Z64" i="1"/>
  <c r="Z31" i="1"/>
  <c r="Z34" i="1"/>
  <c r="C29" i="3"/>
  <c r="A30" i="3"/>
  <c r="B30" i="3"/>
  <c r="AQ42" i="1"/>
  <c r="AP56" i="1"/>
  <c r="AP58" i="1"/>
  <c r="Z56" i="1"/>
  <c r="Z58" i="1"/>
  <c r="AA35" i="1"/>
  <c r="AB21" i="1"/>
  <c r="AA31" i="1"/>
  <c r="AA34" i="1"/>
  <c r="AA36" i="1"/>
  <c r="AA64" i="1"/>
  <c r="A31" i="3"/>
  <c r="B31" i="3"/>
  <c r="F30" i="3"/>
  <c r="AR42" i="1"/>
  <c r="AQ56" i="1"/>
  <c r="AQ58" i="1"/>
  <c r="AA56" i="1"/>
  <c r="AA58" i="1"/>
  <c r="AB35" i="1"/>
  <c r="AC21" i="1"/>
  <c r="AB31" i="1"/>
  <c r="AB34" i="1"/>
  <c r="AB36" i="1"/>
  <c r="AB64" i="1"/>
  <c r="A32" i="3"/>
  <c r="B32" i="3"/>
  <c r="C30" i="3"/>
  <c r="AS42" i="1"/>
  <c r="AR56" i="1"/>
  <c r="AR58" i="1"/>
  <c r="AC35" i="1"/>
  <c r="AB56" i="1"/>
  <c r="AB58" i="1"/>
  <c r="AC36" i="1"/>
  <c r="AC64" i="1"/>
  <c r="AD21" i="1"/>
  <c r="AC31" i="1"/>
  <c r="AC34" i="1"/>
  <c r="C31" i="3"/>
  <c r="E61" i="1"/>
  <c r="E30" i="3"/>
  <c r="A33" i="3"/>
  <c r="B33" i="3"/>
  <c r="AT42" i="1"/>
  <c r="AS56" i="1"/>
  <c r="AS58" i="1"/>
  <c r="AC56" i="1"/>
  <c r="AC58" i="1"/>
  <c r="AD35" i="1"/>
  <c r="C32" i="3"/>
  <c r="A34" i="3"/>
  <c r="B34" i="3"/>
  <c r="AE21" i="1"/>
  <c r="AD31" i="1"/>
  <c r="AD34" i="1"/>
  <c r="AD36" i="1"/>
  <c r="AD64" i="1"/>
  <c r="G30" i="3"/>
  <c r="AU42" i="1"/>
  <c r="AT56" i="1"/>
  <c r="AT58" i="1"/>
  <c r="AD56" i="1"/>
  <c r="AD58" i="1"/>
  <c r="AE35" i="1"/>
  <c r="A35" i="3"/>
  <c r="B35" i="3"/>
  <c r="C33" i="3"/>
  <c r="AE36" i="1"/>
  <c r="AE64" i="1"/>
  <c r="AE31" i="1"/>
  <c r="AE34" i="1"/>
  <c r="AF21" i="1"/>
  <c r="AU56" i="1"/>
  <c r="AU58" i="1"/>
  <c r="AV42" i="1"/>
  <c r="AE56" i="1"/>
  <c r="AE58" i="1"/>
  <c r="AF35" i="1"/>
  <c r="AF31" i="1"/>
  <c r="AF34" i="1"/>
  <c r="AG21" i="1"/>
  <c r="AF36" i="1"/>
  <c r="AF64" i="1"/>
  <c r="C34" i="3"/>
  <c r="C35" i="3"/>
  <c r="A36" i="3"/>
  <c r="B36" i="3"/>
  <c r="AG35" i="1"/>
  <c r="AF56" i="1"/>
  <c r="AF58" i="1"/>
  <c r="AG31" i="1"/>
  <c r="AG34" i="1"/>
  <c r="AG36" i="1"/>
  <c r="AV36" i="1"/>
  <c r="AV21" i="1"/>
  <c r="A37" i="3"/>
  <c r="B37" i="3"/>
  <c r="C36" i="3"/>
  <c r="AG56" i="1"/>
  <c r="AH35" i="1"/>
  <c r="AH56" i="1"/>
  <c r="AH58" i="1"/>
  <c r="AG64" i="1"/>
  <c r="AH64" i="1"/>
  <c r="AI64" i="1"/>
  <c r="AV31" i="1"/>
  <c r="C37" i="3"/>
  <c r="A38" i="3"/>
  <c r="B38" i="3"/>
  <c r="AJ64" i="1"/>
  <c r="AK64" i="1"/>
  <c r="AL64" i="1"/>
  <c r="AM64" i="1"/>
  <c r="AN64" i="1"/>
  <c r="AO64" i="1"/>
  <c r="AP64" i="1"/>
  <c r="AQ64" i="1"/>
  <c r="AR64" i="1"/>
  <c r="AS64" i="1"/>
  <c r="AT64" i="1"/>
  <c r="AU64" i="1"/>
  <c r="C38" i="3"/>
  <c r="A39" i="3"/>
  <c r="B39" i="3"/>
  <c r="C39" i="3"/>
  <c r="A40" i="3"/>
  <c r="B40" i="3"/>
  <c r="AG58" i="1"/>
  <c r="A41" i="3"/>
  <c r="B41" i="3"/>
  <c r="C40" i="3"/>
  <c r="C41" i="3"/>
  <c r="A42" i="3"/>
  <c r="B42" i="3"/>
  <c r="F42" i="3"/>
  <c r="A43" i="3"/>
  <c r="B43" i="3"/>
  <c r="A44" i="3"/>
  <c r="B44" i="3"/>
  <c r="C42" i="3"/>
  <c r="F61" i="1"/>
  <c r="C43" i="3"/>
  <c r="E42" i="3"/>
  <c r="A45" i="3"/>
  <c r="B45" i="3"/>
  <c r="G42" i="3"/>
  <c r="A46" i="3"/>
  <c r="B46" i="3"/>
  <c r="C44" i="3"/>
  <c r="C45" i="3"/>
  <c r="A47" i="3"/>
  <c r="B47" i="3"/>
  <c r="A48" i="3"/>
  <c r="B48" i="3"/>
  <c r="C46" i="3"/>
  <c r="C47" i="3"/>
  <c r="A49" i="3"/>
  <c r="B49" i="3"/>
  <c r="C48" i="3"/>
  <c r="A50" i="3"/>
  <c r="B50" i="3"/>
  <c r="C49" i="3"/>
  <c r="C50" i="3"/>
  <c r="A51" i="3"/>
  <c r="B51" i="3"/>
  <c r="A52" i="3"/>
  <c r="B52" i="3"/>
  <c r="C51" i="3"/>
  <c r="A53" i="3"/>
  <c r="B53" i="3"/>
  <c r="C52" i="3"/>
  <c r="C53" i="3"/>
  <c r="A54" i="3"/>
  <c r="B54" i="3"/>
  <c r="A55" i="3"/>
  <c r="B55" i="3"/>
  <c r="F54" i="3"/>
  <c r="A56" i="3"/>
  <c r="B56" i="3"/>
  <c r="C54" i="3"/>
  <c r="C55" i="3"/>
  <c r="G61" i="1"/>
  <c r="E54" i="3"/>
  <c r="A57" i="3"/>
  <c r="B57" i="3"/>
  <c r="A58" i="3"/>
  <c r="B58" i="3"/>
  <c r="G54" i="3"/>
  <c r="C56" i="3"/>
  <c r="C57" i="3"/>
  <c r="A59" i="3"/>
  <c r="B59" i="3"/>
  <c r="C58" i="3"/>
  <c r="A60" i="3"/>
  <c r="B60" i="3"/>
  <c r="C59" i="3"/>
  <c r="C60" i="3"/>
  <c r="A61" i="3"/>
  <c r="B61" i="3"/>
  <c r="A62" i="3"/>
  <c r="B62" i="3"/>
  <c r="C61" i="3"/>
  <c r="C62" i="3"/>
  <c r="A63" i="3"/>
  <c r="B63" i="3"/>
  <c r="A64" i="3"/>
  <c r="B64" i="3"/>
  <c r="C63" i="3"/>
  <c r="A65" i="3"/>
  <c r="B65" i="3"/>
  <c r="C64" i="3"/>
  <c r="A66" i="3"/>
  <c r="B66" i="3"/>
  <c r="C65" i="3"/>
  <c r="C66" i="3"/>
  <c r="F66" i="3"/>
  <c r="A67" i="3"/>
  <c r="B67" i="3"/>
  <c r="H61" i="1"/>
  <c r="E66" i="3"/>
  <c r="A68" i="3"/>
  <c r="B68" i="3"/>
  <c r="C67" i="3"/>
  <c r="C68" i="3"/>
  <c r="A69" i="3"/>
  <c r="B69" i="3"/>
  <c r="G66" i="3"/>
  <c r="A70" i="3"/>
  <c r="B70" i="3"/>
  <c r="A71" i="3"/>
  <c r="B71" i="3"/>
  <c r="C69" i="3"/>
  <c r="C70" i="3"/>
  <c r="A72" i="3"/>
  <c r="B72" i="3"/>
  <c r="A73" i="3"/>
  <c r="B73" i="3"/>
  <c r="C71" i="3"/>
  <c r="C72" i="3"/>
  <c r="A74" i="3"/>
  <c r="B74" i="3"/>
  <c r="A75" i="3"/>
  <c r="B75" i="3"/>
  <c r="C73" i="3"/>
  <c r="C74" i="3"/>
  <c r="A76" i="3"/>
  <c r="B76" i="3"/>
  <c r="C75" i="3"/>
  <c r="A77" i="3"/>
  <c r="B77" i="3"/>
  <c r="C76" i="3"/>
  <c r="A78" i="3"/>
  <c r="B78" i="3"/>
  <c r="C77" i="3"/>
  <c r="I61" i="1"/>
  <c r="A79" i="3"/>
  <c r="B79" i="3"/>
  <c r="F78" i="3"/>
  <c r="A80" i="3"/>
  <c r="B80" i="3"/>
  <c r="C78" i="3"/>
  <c r="C79" i="3"/>
  <c r="E78" i="3"/>
  <c r="G78" i="3"/>
  <c r="A81" i="3"/>
  <c r="B81" i="3"/>
  <c r="A82" i="3"/>
  <c r="B82" i="3"/>
  <c r="C80" i="3"/>
  <c r="C81" i="3"/>
  <c r="C82" i="3"/>
  <c r="J61" i="1"/>
  <c r="A83" i="3"/>
  <c r="B83" i="3"/>
  <c r="A84" i="3"/>
  <c r="B84" i="3"/>
  <c r="C83" i="3"/>
  <c r="C84" i="3"/>
  <c r="A85" i="3"/>
  <c r="B85" i="3"/>
  <c r="A86" i="3"/>
  <c r="B86" i="3"/>
  <c r="C85" i="3"/>
  <c r="C86" i="3"/>
  <c r="A87" i="3"/>
  <c r="B87" i="3"/>
  <c r="C87" i="3"/>
  <c r="A88" i="3"/>
  <c r="B88" i="3"/>
  <c r="A89" i="3"/>
  <c r="B89" i="3"/>
  <c r="C88" i="3"/>
  <c r="C89" i="3"/>
  <c r="A90" i="3"/>
  <c r="B90" i="3"/>
  <c r="F90" i="3"/>
  <c r="A91" i="3"/>
  <c r="B91" i="3"/>
  <c r="A92" i="3"/>
  <c r="B92" i="3"/>
  <c r="C90" i="3"/>
  <c r="C91" i="3"/>
  <c r="E90" i="3"/>
  <c r="G90" i="3"/>
  <c r="A93" i="3"/>
  <c r="B93" i="3"/>
  <c r="A94" i="3"/>
  <c r="B94" i="3"/>
  <c r="C92" i="3"/>
  <c r="C93" i="3"/>
  <c r="C94" i="3"/>
  <c r="A95" i="3"/>
  <c r="B95" i="3"/>
  <c r="A96" i="3"/>
  <c r="B96" i="3"/>
  <c r="C95" i="3"/>
  <c r="C96" i="3"/>
  <c r="A97" i="3"/>
  <c r="B97" i="3"/>
  <c r="C97" i="3"/>
  <c r="A98" i="3"/>
  <c r="B98" i="3"/>
  <c r="A99" i="3"/>
  <c r="B99" i="3"/>
  <c r="C98" i="3"/>
  <c r="C99" i="3"/>
  <c r="A100" i="3"/>
  <c r="B100" i="3"/>
  <c r="A101" i="3"/>
  <c r="B101" i="3"/>
  <c r="C100" i="3"/>
  <c r="A102" i="3"/>
  <c r="B102" i="3"/>
  <c r="C101" i="3"/>
  <c r="F102" i="3"/>
  <c r="A103" i="3"/>
  <c r="B103" i="3"/>
  <c r="A104" i="3"/>
  <c r="B104" i="3"/>
  <c r="C102" i="3"/>
  <c r="C103" i="3"/>
  <c r="K61" i="1"/>
  <c r="E102" i="3"/>
  <c r="G102" i="3"/>
  <c r="A105" i="3"/>
  <c r="B105" i="3"/>
  <c r="A106" i="3"/>
  <c r="B106" i="3"/>
  <c r="C104" i="3"/>
  <c r="C105" i="3"/>
  <c r="A107" i="3"/>
  <c r="B107" i="3"/>
  <c r="A108" i="3"/>
  <c r="B108" i="3"/>
  <c r="C106" i="3"/>
  <c r="C107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A114" i="3"/>
  <c r="B114" i="3"/>
  <c r="C113" i="3"/>
  <c r="F114" i="3"/>
  <c r="A115" i="3"/>
  <c r="B115" i="3"/>
  <c r="A116" i="3"/>
  <c r="B116" i="3"/>
  <c r="C114" i="3"/>
  <c r="L61" i="1"/>
  <c r="C115" i="3"/>
  <c r="E114" i="3"/>
  <c r="G114" i="3"/>
  <c r="A117" i="3"/>
  <c r="B117" i="3"/>
  <c r="A118" i="3"/>
  <c r="B118" i="3"/>
  <c r="C116" i="3"/>
  <c r="C117" i="3"/>
  <c r="C118" i="3"/>
  <c r="A119" i="3"/>
  <c r="B119" i="3"/>
  <c r="A120" i="3"/>
  <c r="B120" i="3"/>
  <c r="C119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F126" i="3"/>
  <c r="A127" i="3"/>
  <c r="B127" i="3"/>
  <c r="A128" i="3"/>
  <c r="B128" i="3"/>
  <c r="C126" i="3"/>
  <c r="C127" i="3"/>
  <c r="M61" i="1"/>
  <c r="E126" i="3"/>
  <c r="G126" i="3"/>
  <c r="A129" i="3"/>
  <c r="B129" i="3"/>
  <c r="A130" i="3"/>
  <c r="B130" i="3"/>
  <c r="C128" i="3"/>
  <c r="C129" i="3"/>
  <c r="C130" i="3"/>
  <c r="A131" i="3"/>
  <c r="B131" i="3"/>
  <c r="A132" i="3"/>
  <c r="B132" i="3"/>
  <c r="C131" i="3"/>
  <c r="A133" i="3"/>
  <c r="B133" i="3"/>
  <c r="C132" i="3"/>
  <c r="C133" i="3"/>
  <c r="A134" i="3"/>
  <c r="B134" i="3"/>
  <c r="A135" i="3"/>
  <c r="B135" i="3"/>
  <c r="C134" i="3"/>
  <c r="C135" i="3"/>
  <c r="A136" i="3"/>
  <c r="B136" i="3"/>
  <c r="C136" i="3"/>
  <c r="A137" i="3"/>
  <c r="B137" i="3"/>
  <c r="C137" i="3"/>
  <c r="N61" i="1"/>
  <c r="A138" i="3"/>
  <c r="B138" i="3"/>
  <c r="F138" i="3"/>
  <c r="A139" i="3"/>
  <c r="B139" i="3"/>
  <c r="A140" i="3"/>
  <c r="B140" i="3"/>
  <c r="C138" i="3"/>
  <c r="C139" i="3"/>
  <c r="E138" i="3"/>
  <c r="G138" i="3"/>
  <c r="A141" i="3"/>
  <c r="B141" i="3"/>
  <c r="A142" i="3"/>
  <c r="B142" i="3"/>
  <c r="C140" i="3"/>
  <c r="C141" i="3"/>
  <c r="A143" i="3"/>
  <c r="B143" i="3"/>
  <c r="C142" i="3"/>
  <c r="A144" i="3"/>
  <c r="B144" i="3"/>
  <c r="C143" i="3"/>
  <c r="A145" i="3"/>
  <c r="B145" i="3"/>
  <c r="C144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F150" i="3"/>
  <c r="A151" i="3"/>
  <c r="B151" i="3"/>
  <c r="A152" i="3"/>
  <c r="B152" i="3"/>
  <c r="C150" i="3"/>
  <c r="O61" i="1"/>
  <c r="C151" i="3"/>
  <c r="E150" i="3"/>
  <c r="G150" i="3"/>
  <c r="A153" i="3"/>
  <c r="B153" i="3"/>
  <c r="A154" i="3"/>
  <c r="B154" i="3"/>
  <c r="C152" i="3"/>
  <c r="C153" i="3"/>
  <c r="A155" i="3"/>
  <c r="B155" i="3"/>
  <c r="C154" i="3"/>
  <c r="A156" i="3"/>
  <c r="B156" i="3"/>
  <c r="A157" i="3"/>
  <c r="B157" i="3"/>
  <c r="C155" i="3"/>
  <c r="C156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A162" i="3"/>
  <c r="B162" i="3"/>
  <c r="C161" i="3"/>
  <c r="F162" i="3"/>
  <c r="A163" i="3"/>
  <c r="B163" i="3"/>
  <c r="A164" i="3"/>
  <c r="B164" i="3"/>
  <c r="C162" i="3"/>
  <c r="P61" i="1"/>
  <c r="C163" i="3"/>
  <c r="E162" i="3"/>
  <c r="G162" i="3"/>
  <c r="A165" i="3"/>
  <c r="B165" i="3"/>
  <c r="C164" i="3"/>
  <c r="A166" i="3"/>
  <c r="B166" i="3"/>
  <c r="A167" i="3"/>
  <c r="B167" i="3"/>
  <c r="C165" i="3"/>
  <c r="C166" i="3"/>
  <c r="A168" i="3"/>
  <c r="B168" i="3"/>
  <c r="A169" i="3"/>
  <c r="B169" i="3"/>
  <c r="C167" i="3"/>
  <c r="C168" i="3"/>
  <c r="A170" i="3"/>
  <c r="B170" i="3"/>
  <c r="C169" i="3"/>
  <c r="C170" i="3"/>
  <c r="A171" i="3"/>
  <c r="B171" i="3"/>
  <c r="C171" i="3"/>
  <c r="A172" i="3"/>
  <c r="B172" i="3"/>
  <c r="A173" i="3"/>
  <c r="B173" i="3"/>
  <c r="C172" i="3"/>
  <c r="C173" i="3"/>
  <c r="A174" i="3"/>
  <c r="B174" i="3"/>
  <c r="F174" i="3"/>
  <c r="A175" i="3"/>
  <c r="B175" i="3"/>
  <c r="A176" i="3"/>
  <c r="B176" i="3"/>
  <c r="C174" i="3"/>
  <c r="C175" i="3"/>
  <c r="Q61" i="1"/>
  <c r="E174" i="3"/>
  <c r="G174" i="3"/>
  <c r="A177" i="3"/>
  <c r="B177" i="3"/>
  <c r="A178" i="3"/>
  <c r="B178" i="3"/>
  <c r="C176" i="3"/>
  <c r="C177" i="3"/>
  <c r="A179" i="3"/>
  <c r="B179" i="3"/>
  <c r="C178" i="3"/>
  <c r="C179" i="3"/>
  <c r="A180" i="3"/>
  <c r="B180" i="3"/>
  <c r="A181" i="3"/>
  <c r="B181" i="3"/>
  <c r="C180" i="3"/>
  <c r="C181" i="3"/>
  <c r="A182" i="3"/>
  <c r="B182" i="3"/>
  <c r="A183" i="3"/>
  <c r="B183" i="3"/>
  <c r="C182" i="3"/>
  <c r="C183" i="3"/>
  <c r="A184" i="3"/>
  <c r="B184" i="3"/>
  <c r="C184" i="3"/>
  <c r="A185" i="3"/>
  <c r="B185" i="3"/>
  <c r="A186" i="3"/>
  <c r="B186" i="3"/>
  <c r="B187" i="3"/>
  <c r="C185" i="3"/>
  <c r="C186" i="3"/>
  <c r="R61" i="1"/>
  <c r="E186" i="3"/>
  <c r="F186" i="3"/>
  <c r="F188" i="3"/>
  <c r="G186" i="3"/>
  <c r="E188" i="3"/>
  <c r="AV35" i="1"/>
  <c r="D56" i="1"/>
  <c r="AV34" i="1"/>
  <c r="E35" i="1"/>
  <c r="E56" i="1"/>
  <c r="E58" i="1"/>
  <c r="D58" i="1"/>
  <c r="AV56" i="1"/>
  <c r="AV58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U74" i="1"/>
</calcChain>
</file>

<file path=xl/sharedStrings.xml><?xml version="1.0" encoding="utf-8"?>
<sst xmlns="http://schemas.openxmlformats.org/spreadsheetml/2006/main" count="82" uniqueCount="78">
  <si>
    <t>Inflation</t>
  </si>
  <si>
    <t>Mortgage</t>
  </si>
  <si>
    <t>Car - Gas/Maintenance</t>
  </si>
  <si>
    <t>Property Taxes</t>
  </si>
  <si>
    <t>Roth IRA</t>
  </si>
  <si>
    <t>Phone/Internet/Electrical</t>
  </si>
  <si>
    <t>Food</t>
  </si>
  <si>
    <t>Income</t>
  </si>
  <si>
    <t>Insurance - Car/House/Life</t>
  </si>
  <si>
    <t>Entertainment</t>
  </si>
  <si>
    <t>Total Income</t>
  </si>
  <si>
    <t>Roth IRA-ROI</t>
  </si>
  <si>
    <t>Income Surplus/Deficit</t>
  </si>
  <si>
    <t>Miscellaneous</t>
  </si>
  <si>
    <t>Clothing</t>
  </si>
  <si>
    <t>Mortgage Interest Rate</t>
  </si>
  <si>
    <t>Auto Accident Settlement</t>
  </si>
  <si>
    <t>Traditional IRA</t>
  </si>
  <si>
    <t>Total Payroll Taxes</t>
  </si>
  <si>
    <t>Payroll Tax % (includes all)</t>
  </si>
  <si>
    <t xml:space="preserve">46 Acres </t>
  </si>
  <si>
    <t>Insurance- Health &amp; Dental</t>
  </si>
  <si>
    <t>Total</t>
  </si>
  <si>
    <t>Traditional IRA-ROI</t>
  </si>
  <si>
    <t>Inheritence (In 2004 and 2016)</t>
  </si>
  <si>
    <t>Tractor Purchase</t>
  </si>
  <si>
    <t>Balance Sheet</t>
  </si>
  <si>
    <t>Expenses</t>
  </si>
  <si>
    <t>Total Annual Expenses</t>
  </si>
  <si>
    <t>Mortgage Payment Year</t>
  </si>
  <si>
    <t>Payment</t>
  </si>
  <si>
    <t>Principal</t>
  </si>
  <si>
    <t>PPMT</t>
  </si>
  <si>
    <t>Balance</t>
  </si>
  <si>
    <t>End of Yr</t>
  </si>
  <si>
    <t>Mortgage Payment Schedule</t>
  </si>
  <si>
    <t>Paid</t>
  </si>
  <si>
    <t>Mortgage (See Mortgage Sch Tab)</t>
  </si>
  <si>
    <t>Mth/Pay</t>
  </si>
  <si>
    <t>Annual/Pay</t>
  </si>
  <si>
    <t>Home Improvements</t>
  </si>
  <si>
    <t>Cost of loan</t>
  </si>
  <si>
    <t>Interest on loan</t>
  </si>
  <si>
    <t>Healthcare (Co-Pay)</t>
  </si>
  <si>
    <t>Vacation/Travel</t>
  </si>
  <si>
    <t>Joint Savings/CD</t>
  </si>
  <si>
    <t>Saving/CD Rate</t>
  </si>
  <si>
    <t>Charity/Gifts</t>
  </si>
  <si>
    <t>IRA Withdrawal Taxable</t>
  </si>
  <si>
    <t>IRA Withdrawal Non Taxable</t>
  </si>
  <si>
    <t>401K Withdrawal</t>
  </si>
  <si>
    <t>Car/Truck Purchase (Includes trade-in)</t>
  </si>
  <si>
    <t>Heating</t>
  </si>
  <si>
    <t>Cash</t>
  </si>
  <si>
    <t>Property</t>
  </si>
  <si>
    <t>401K-Wife</t>
  </si>
  <si>
    <t>401K-Husband</t>
  </si>
  <si>
    <t>Annual Pay Increase-Wife</t>
  </si>
  <si>
    <t>Annual Pay Increase-Husband</t>
  </si>
  <si>
    <t>401KContribution-Wife</t>
  </si>
  <si>
    <t>401K Contribution-Husband</t>
  </si>
  <si>
    <t>401K ROI-Wife</t>
  </si>
  <si>
    <t>401K ROI-Husband</t>
  </si>
  <si>
    <t>Wife Annual Income</t>
  </si>
  <si>
    <t>Wife Bonus</t>
  </si>
  <si>
    <t>Husband Annual Income</t>
  </si>
  <si>
    <t>Husband Bonus</t>
  </si>
  <si>
    <t>Wife SS Payment</t>
  </si>
  <si>
    <t>401K Contribution-Wife</t>
  </si>
  <si>
    <t>Husband-Child Support</t>
  </si>
  <si>
    <t>Assumptions</t>
  </si>
  <si>
    <t>FV</t>
  </si>
  <si>
    <t>FV table 50 years, 5%</t>
  </si>
  <si>
    <t xml:space="preserve"> FV table 50 years, 5%</t>
  </si>
  <si>
    <t>#Years until Retirement for Wife</t>
  </si>
  <si>
    <t>#Years until Retirement for Husband</t>
  </si>
  <si>
    <t>House</t>
  </si>
  <si>
    <t xml:space="preserve">Financial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</si>
</sst>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10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45"/>
      <name val="Times New Roman"/>
      <family val="1"/>
    </font>
    <font>
      <b/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0" fontId="4" fillId="0" borderId="0" xfId="0" applyFont="1"/>
    <xf numFmtId="165" fontId="5" fillId="0" borderId="0" xfId="1" applyNumberFormat="1" applyFont="1"/>
    <xf numFmtId="165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0" fontId="3" fillId="0" borderId="0" xfId="3" applyNumberFormat="1" applyFont="1"/>
    <xf numFmtId="1" fontId="3" fillId="0" borderId="0" xfId="3" applyNumberFormat="1" applyFont="1"/>
    <xf numFmtId="164" fontId="3" fillId="0" borderId="0" xfId="0" applyNumberFormat="1" applyFont="1"/>
    <xf numFmtId="3" fontId="3" fillId="0" borderId="0" xfId="1" applyNumberFormat="1" applyFont="1"/>
    <xf numFmtId="3" fontId="3" fillId="0" borderId="0" xfId="0" applyNumberFormat="1" applyFont="1"/>
    <xf numFmtId="0" fontId="6" fillId="0" borderId="0" xfId="0" applyFont="1"/>
    <xf numFmtId="3" fontId="9" fillId="2" borderId="1" xfId="0" applyNumberFormat="1" applyFont="1" applyFill="1" applyBorder="1" applyAlignment="1">
      <alignment horizontal="center"/>
    </xf>
    <xf numFmtId="3" fontId="3" fillId="3" borderId="2" xfId="0" applyNumberFormat="1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3" fontId="7" fillId="3" borderId="5" xfId="0" applyNumberFormat="1" applyFont="1" applyFill="1" applyBorder="1"/>
    <xf numFmtId="0" fontId="7" fillId="3" borderId="0" xfId="0" applyFont="1" applyFill="1"/>
    <xf numFmtId="0" fontId="7" fillId="3" borderId="6" xfId="0" applyFont="1" applyFill="1" applyBorder="1"/>
    <xf numFmtId="3" fontId="7" fillId="3" borderId="7" xfId="0" applyNumberFormat="1" applyFont="1" applyFill="1" applyBorder="1"/>
    <xf numFmtId="0" fontId="7" fillId="3" borderId="8" xfId="0" applyFont="1" applyFill="1" applyBorder="1"/>
    <xf numFmtId="0" fontId="8" fillId="3" borderId="8" xfId="0" applyFont="1" applyFill="1" applyBorder="1"/>
    <xf numFmtId="0" fontId="8" fillId="3" borderId="9" xfId="0" applyFont="1" applyFill="1" applyBorder="1"/>
    <xf numFmtId="164" fontId="3" fillId="3" borderId="2" xfId="1" applyNumberFormat="1" applyFont="1" applyFill="1" applyBorder="1"/>
    <xf numFmtId="3" fontId="3" fillId="3" borderId="4" xfId="0" applyNumberFormat="1" applyFont="1" applyFill="1" applyBorder="1"/>
    <xf numFmtId="164" fontId="3" fillId="3" borderId="5" xfId="1" applyNumberFormat="1" applyFont="1" applyFill="1" applyBorder="1"/>
    <xf numFmtId="3" fontId="3" fillId="3" borderId="6" xfId="0" applyNumberFormat="1" applyFont="1" applyFill="1" applyBorder="1"/>
    <xf numFmtId="1" fontId="3" fillId="0" borderId="0" xfId="1" applyNumberFormat="1" applyFont="1"/>
    <xf numFmtId="3" fontId="3" fillId="3" borderId="5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164" fontId="3" fillId="3" borderId="5" xfId="0" applyNumberFormat="1" applyFont="1" applyFill="1" applyBorder="1"/>
    <xf numFmtId="164" fontId="3" fillId="3" borderId="6" xfId="0" applyNumberFormat="1" applyFont="1" applyFill="1" applyBorder="1"/>
    <xf numFmtId="164" fontId="2" fillId="3" borderId="7" xfId="0" applyNumberFormat="1" applyFont="1" applyFill="1" applyBorder="1"/>
    <xf numFmtId="0" fontId="3" fillId="3" borderId="9" xfId="0" applyFont="1" applyFill="1" applyBorder="1"/>
    <xf numFmtId="8" fontId="3" fillId="2" borderId="0" xfId="0" applyNumberFormat="1" applyFont="1" applyFill="1"/>
    <xf numFmtId="44" fontId="3" fillId="0" borderId="0" xfId="2" applyFont="1"/>
    <xf numFmtId="44" fontId="3" fillId="0" borderId="0" xfId="0" applyNumberFormat="1" applyFont="1"/>
    <xf numFmtId="0" fontId="3" fillId="0" borderId="0" xfId="0" applyFont="1" applyAlignment="1">
      <alignment horizontal="center"/>
    </xf>
    <xf numFmtId="8" fontId="3" fillId="4" borderId="0" xfId="0" applyNumberFormat="1" applyFont="1" applyFill="1"/>
    <xf numFmtId="8" fontId="3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J74"/>
  <sheetViews>
    <sheetView tabSelected="1" showWhiteSpace="0" view="pageLayout" topLeftCell="AJ1" zoomScale="115" zoomScaleNormal="100" zoomScalePageLayoutView="115" workbookViewId="0">
      <selection activeCell="BA36" sqref="BA36"/>
    </sheetView>
  </sheetViews>
  <sheetFormatPr defaultColWidth="15.54296875" defaultRowHeight="13" x14ac:dyDescent="0.3"/>
  <cols>
    <col min="1" max="1" width="0.1796875" style="2" customWidth="1"/>
    <col min="2" max="2" width="35.7265625" style="2" bestFit="1" customWidth="1"/>
    <col min="3" max="3" width="8.90625" style="2" bestFit="1" customWidth="1"/>
    <col min="4" max="4" width="8.90625" style="3" bestFit="1" customWidth="1"/>
    <col min="5" max="21" width="8.90625" style="2" bestFit="1" customWidth="1"/>
    <col min="22" max="46" width="10.453125" style="2" bestFit="1" customWidth="1"/>
    <col min="47" max="47" width="14.7265625" style="2" bestFit="1" customWidth="1"/>
    <col min="48" max="48" width="19.08984375" style="2" bestFit="1" customWidth="1"/>
    <col min="49" max="16384" width="15.54296875" style="2"/>
  </cols>
  <sheetData>
    <row r="1" spans="2:48" x14ac:dyDescent="0.3">
      <c r="B1" s="1" t="s">
        <v>77</v>
      </c>
    </row>
    <row r="2" spans="2:48" s="4" customFormat="1" x14ac:dyDescent="0.3">
      <c r="B2" s="1" t="s">
        <v>70</v>
      </c>
      <c r="D2" s="5">
        <v>2025</v>
      </c>
      <c r="E2" s="6">
        <f>+D2+1</f>
        <v>2026</v>
      </c>
      <c r="F2" s="6">
        <f t="shared" ref="F2:L2" si="0">+E2+1</f>
        <v>2027</v>
      </c>
      <c r="G2" s="6">
        <f t="shared" si="0"/>
        <v>2028</v>
      </c>
      <c r="H2" s="6">
        <f t="shared" si="0"/>
        <v>2029</v>
      </c>
      <c r="I2" s="6">
        <f t="shared" si="0"/>
        <v>2030</v>
      </c>
      <c r="J2" s="6">
        <f t="shared" si="0"/>
        <v>2031</v>
      </c>
      <c r="K2" s="6">
        <f t="shared" si="0"/>
        <v>2032</v>
      </c>
      <c r="L2" s="6">
        <f t="shared" si="0"/>
        <v>2033</v>
      </c>
      <c r="M2" s="7">
        <v>2034</v>
      </c>
      <c r="N2" s="7">
        <f>+M2+1</f>
        <v>2035</v>
      </c>
      <c r="O2" s="7">
        <f t="shared" ref="O2:W2" si="1">+N2+1</f>
        <v>2036</v>
      </c>
      <c r="P2" s="7">
        <f t="shared" si="1"/>
        <v>2037</v>
      </c>
      <c r="Q2" s="7">
        <f t="shared" si="1"/>
        <v>2038</v>
      </c>
      <c r="R2" s="7">
        <f t="shared" si="1"/>
        <v>2039</v>
      </c>
      <c r="S2" s="7">
        <f t="shared" si="1"/>
        <v>2040</v>
      </c>
      <c r="T2" s="7">
        <f t="shared" si="1"/>
        <v>2041</v>
      </c>
      <c r="U2" s="7">
        <f t="shared" si="1"/>
        <v>2042</v>
      </c>
      <c r="V2" s="7">
        <f t="shared" si="1"/>
        <v>2043</v>
      </c>
      <c r="W2" s="7">
        <f t="shared" si="1"/>
        <v>2044</v>
      </c>
      <c r="X2" s="7">
        <f t="shared" ref="X2:AJ2" si="2">+W2+1</f>
        <v>2045</v>
      </c>
      <c r="Y2" s="7">
        <f t="shared" si="2"/>
        <v>2046</v>
      </c>
      <c r="Z2" s="7">
        <f t="shared" si="2"/>
        <v>2047</v>
      </c>
      <c r="AA2" s="7">
        <f t="shared" si="2"/>
        <v>2048</v>
      </c>
      <c r="AB2" s="7">
        <f t="shared" si="2"/>
        <v>2049</v>
      </c>
      <c r="AC2" s="7">
        <f t="shared" si="2"/>
        <v>2050</v>
      </c>
      <c r="AD2" s="7">
        <f t="shared" si="2"/>
        <v>2051</v>
      </c>
      <c r="AE2" s="7">
        <f t="shared" si="2"/>
        <v>2052</v>
      </c>
      <c r="AF2" s="7">
        <f t="shared" si="2"/>
        <v>2053</v>
      </c>
      <c r="AG2" s="7">
        <f t="shared" si="2"/>
        <v>2054</v>
      </c>
      <c r="AH2" s="7">
        <f t="shared" si="2"/>
        <v>2055</v>
      </c>
      <c r="AI2" s="7">
        <f t="shared" si="2"/>
        <v>2056</v>
      </c>
      <c r="AJ2" s="7">
        <f t="shared" si="2"/>
        <v>2057</v>
      </c>
      <c r="AK2" s="7">
        <f>+AJ2+1</f>
        <v>2058</v>
      </c>
      <c r="AL2" s="7">
        <f t="shared" ref="AL2:AU2" si="3">+AK2+1</f>
        <v>2059</v>
      </c>
      <c r="AM2" s="7">
        <f t="shared" si="3"/>
        <v>2060</v>
      </c>
      <c r="AN2" s="7">
        <f t="shared" si="3"/>
        <v>2061</v>
      </c>
      <c r="AO2" s="7">
        <f t="shared" si="3"/>
        <v>2062</v>
      </c>
      <c r="AP2" s="7">
        <f t="shared" si="3"/>
        <v>2063</v>
      </c>
      <c r="AQ2" s="7">
        <f t="shared" si="3"/>
        <v>2064</v>
      </c>
      <c r="AR2" s="7">
        <f t="shared" si="3"/>
        <v>2065</v>
      </c>
      <c r="AS2" s="7">
        <f t="shared" si="3"/>
        <v>2066</v>
      </c>
      <c r="AT2" s="7">
        <f t="shared" si="3"/>
        <v>2067</v>
      </c>
      <c r="AU2" s="7">
        <f t="shared" si="3"/>
        <v>2068</v>
      </c>
      <c r="AV2" s="8" t="s">
        <v>22</v>
      </c>
    </row>
    <row r="3" spans="2:48" x14ac:dyDescent="0.3">
      <c r="B3" s="2" t="s">
        <v>57</v>
      </c>
      <c r="D3" s="9">
        <v>0.05</v>
      </c>
      <c r="E3" s="9">
        <v>0.05</v>
      </c>
      <c r="F3" s="9">
        <v>0.04</v>
      </c>
      <c r="G3" s="9">
        <v>0.04</v>
      </c>
      <c r="H3" s="9">
        <v>0.04</v>
      </c>
      <c r="I3" s="9">
        <v>0.04</v>
      </c>
      <c r="J3" s="9">
        <v>0.04</v>
      </c>
      <c r="K3" s="9">
        <v>0.04</v>
      </c>
      <c r="L3" s="9">
        <v>0.04</v>
      </c>
      <c r="M3" s="9">
        <v>0.04</v>
      </c>
      <c r="N3" s="9">
        <v>0.04</v>
      </c>
      <c r="O3" s="9">
        <v>0.04</v>
      </c>
      <c r="P3" s="9">
        <v>0.04</v>
      </c>
      <c r="Q3" s="9">
        <v>2.5000000000000001E-2</v>
      </c>
      <c r="R3" s="9">
        <v>2.5000000000000001E-2</v>
      </c>
      <c r="S3" s="9">
        <v>2.5000000000000001E-2</v>
      </c>
      <c r="T3" s="9">
        <v>2.5000000000000001E-2</v>
      </c>
      <c r="U3" s="9">
        <v>2.5000000000000001E-2</v>
      </c>
      <c r="V3" s="9">
        <v>2.5000000000000001E-2</v>
      </c>
      <c r="W3" s="9">
        <v>2.5000000000000001E-2</v>
      </c>
      <c r="X3" s="9">
        <v>2.5000000000000001E-2</v>
      </c>
      <c r="Y3" s="9">
        <v>2.5000000000000001E-2</v>
      </c>
      <c r="Z3" s="9">
        <v>2.5000000000000001E-2</v>
      </c>
      <c r="AA3" s="9">
        <v>2.5000000000000001E-2</v>
      </c>
      <c r="AB3" s="9">
        <v>2.5000000000000001E-2</v>
      </c>
      <c r="AC3" s="9">
        <v>2.5000000000000001E-2</v>
      </c>
      <c r="AD3" s="9">
        <v>2.5000000000000001E-2</v>
      </c>
      <c r="AE3" s="9">
        <v>2.5000000000000001E-2</v>
      </c>
      <c r="AF3" s="9">
        <v>2.5000000000000001E-2</v>
      </c>
      <c r="AG3" s="9">
        <v>2.5000000000000001E-2</v>
      </c>
      <c r="AH3" s="9">
        <v>2.5000000000000001E-2</v>
      </c>
      <c r="AI3" s="9">
        <v>2.5000000000000001E-2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2:48" x14ac:dyDescent="0.3">
      <c r="B4" s="2" t="s">
        <v>58</v>
      </c>
      <c r="D4" s="9">
        <v>2.5000000000000001E-2</v>
      </c>
      <c r="E4" s="9">
        <v>2.5000000000000001E-2</v>
      </c>
      <c r="F4" s="9">
        <v>2.5000000000000001E-2</v>
      </c>
      <c r="G4" s="9">
        <v>2.5000000000000001E-2</v>
      </c>
      <c r="H4" s="9">
        <v>2.5000000000000001E-2</v>
      </c>
      <c r="I4" s="9">
        <v>2.5000000000000001E-2</v>
      </c>
      <c r="J4" s="9">
        <v>2.5000000000000001E-2</v>
      </c>
      <c r="K4" s="9">
        <v>2.5000000000000001E-2</v>
      </c>
      <c r="L4" s="9">
        <v>2.5000000000000001E-2</v>
      </c>
      <c r="M4" s="9">
        <v>2.5000000000000001E-2</v>
      </c>
      <c r="N4" s="9">
        <v>2.5000000000000001E-2</v>
      </c>
      <c r="O4" s="9">
        <v>2.5000000000000001E-2</v>
      </c>
      <c r="P4" s="9">
        <v>2.5000000000000001E-2</v>
      </c>
      <c r="Q4" s="9">
        <v>2.5000000000000001E-2</v>
      </c>
      <c r="R4" s="9">
        <v>2.5000000000000001E-2</v>
      </c>
      <c r="S4" s="9">
        <v>2.5000000000000001E-2</v>
      </c>
      <c r="T4" s="9">
        <v>2.5000000000000001E-2</v>
      </c>
      <c r="U4" s="9">
        <v>2.5000000000000001E-2</v>
      </c>
      <c r="V4" s="9">
        <v>2.5000000000000001E-2</v>
      </c>
      <c r="W4" s="9">
        <v>2.5000000000000001E-2</v>
      </c>
      <c r="X4" s="9">
        <v>2.5000000000000001E-2</v>
      </c>
      <c r="Y4" s="9">
        <v>2.5000000000000001E-2</v>
      </c>
      <c r="Z4" s="9">
        <v>2.5000000000000001E-2</v>
      </c>
      <c r="AA4" s="9">
        <v>2.5000000000000001E-2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2:48" x14ac:dyDescent="0.3">
      <c r="B5" s="2" t="s">
        <v>0</v>
      </c>
      <c r="D5" s="9">
        <v>2.5000000000000001E-2</v>
      </c>
      <c r="E5" s="9">
        <v>2.5000000000000001E-2</v>
      </c>
      <c r="F5" s="9">
        <v>2.5000000000000001E-2</v>
      </c>
      <c r="G5" s="9">
        <v>2.5000000000000001E-2</v>
      </c>
      <c r="H5" s="9">
        <v>2.5000000000000001E-2</v>
      </c>
      <c r="I5" s="9">
        <v>2.5000000000000001E-2</v>
      </c>
      <c r="J5" s="9">
        <v>2.5000000000000001E-2</v>
      </c>
      <c r="K5" s="9">
        <v>2.5000000000000001E-2</v>
      </c>
      <c r="L5" s="9">
        <v>2.5000000000000001E-2</v>
      </c>
      <c r="M5" s="9">
        <v>2.5000000000000001E-2</v>
      </c>
      <c r="N5" s="9">
        <v>2.5000000000000001E-2</v>
      </c>
      <c r="O5" s="9">
        <v>2.5000000000000001E-2</v>
      </c>
      <c r="P5" s="9">
        <v>2.5000000000000001E-2</v>
      </c>
      <c r="Q5" s="9">
        <v>2.5000000000000001E-2</v>
      </c>
      <c r="R5" s="9">
        <v>2.5000000000000001E-2</v>
      </c>
      <c r="S5" s="9">
        <v>2.5000000000000001E-2</v>
      </c>
      <c r="T5" s="9">
        <v>2.5000000000000001E-2</v>
      </c>
      <c r="U5" s="9">
        <v>2.5000000000000001E-2</v>
      </c>
      <c r="V5" s="9">
        <v>2.5000000000000001E-2</v>
      </c>
      <c r="W5" s="9">
        <v>2.5000000000000001E-2</v>
      </c>
      <c r="X5" s="9">
        <v>2.5000000000000001E-2</v>
      </c>
      <c r="Y5" s="9">
        <v>2.5000000000000001E-2</v>
      </c>
      <c r="Z5" s="9">
        <v>2.5000000000000001E-2</v>
      </c>
      <c r="AA5" s="9">
        <v>2.5000000000000001E-2</v>
      </c>
      <c r="AB5" s="9">
        <v>2.5000000000000001E-2</v>
      </c>
      <c r="AC5" s="9">
        <v>2.5000000000000001E-2</v>
      </c>
      <c r="AD5" s="9">
        <v>2.5000000000000001E-2</v>
      </c>
      <c r="AE5" s="9">
        <v>2.5000000000000001E-2</v>
      </c>
      <c r="AF5" s="9">
        <v>2.5000000000000001E-2</v>
      </c>
      <c r="AG5" s="9">
        <v>2.5000000000000001E-2</v>
      </c>
      <c r="AH5" s="9">
        <v>2.5000000000000001E-2</v>
      </c>
      <c r="AI5" s="9">
        <v>2.5000000000000001E-2</v>
      </c>
      <c r="AJ5" s="9">
        <v>2.5000000000000001E-2</v>
      </c>
      <c r="AK5" s="9">
        <v>2.5000000000000001E-2</v>
      </c>
      <c r="AL5" s="9">
        <v>2.5000000000000001E-2</v>
      </c>
      <c r="AM5" s="9">
        <v>2.5000000000000001E-2</v>
      </c>
      <c r="AN5" s="9">
        <v>2.5000000000000001E-2</v>
      </c>
      <c r="AO5" s="9">
        <v>2.5000000000000001E-2</v>
      </c>
      <c r="AP5" s="9">
        <v>2.5000000000000001E-2</v>
      </c>
      <c r="AQ5" s="9">
        <v>2.5000000000000001E-2</v>
      </c>
      <c r="AR5" s="9">
        <v>2.5000000000000001E-2</v>
      </c>
      <c r="AS5" s="9">
        <v>2.5000000000000001E-2</v>
      </c>
      <c r="AT5" s="9">
        <v>2.5000000000000001E-2</v>
      </c>
      <c r="AU5" s="9">
        <v>2.5000000000000001E-2</v>
      </c>
    </row>
    <row r="6" spans="2:48" x14ac:dyDescent="0.3">
      <c r="B6" s="2" t="s">
        <v>59</v>
      </c>
      <c r="D6" s="9">
        <v>0.15</v>
      </c>
      <c r="E6" s="9">
        <v>0.15</v>
      </c>
      <c r="F6" s="9">
        <v>0.15</v>
      </c>
      <c r="G6" s="9">
        <v>0.15</v>
      </c>
      <c r="H6" s="9">
        <v>0.15</v>
      </c>
      <c r="I6" s="9">
        <v>0.15</v>
      </c>
      <c r="J6" s="9">
        <v>0.15</v>
      </c>
      <c r="K6" s="9">
        <v>0.15</v>
      </c>
      <c r="L6" s="9">
        <v>0.15</v>
      </c>
      <c r="M6" s="9">
        <v>0.15</v>
      </c>
      <c r="N6" s="9">
        <v>0.15</v>
      </c>
      <c r="O6" s="9">
        <v>0.15</v>
      </c>
      <c r="P6" s="9">
        <v>0.15</v>
      </c>
      <c r="Q6" s="9">
        <v>0.15</v>
      </c>
      <c r="R6" s="9">
        <v>0.15</v>
      </c>
      <c r="S6" s="9">
        <v>0.15</v>
      </c>
      <c r="T6" s="9">
        <v>0.15</v>
      </c>
      <c r="U6" s="9">
        <v>0.15</v>
      </c>
      <c r="V6" s="9">
        <v>0.15</v>
      </c>
      <c r="W6" s="9">
        <v>0.15</v>
      </c>
      <c r="X6" s="9">
        <v>0.15</v>
      </c>
      <c r="Y6" s="9">
        <v>0.15</v>
      </c>
      <c r="Z6" s="9">
        <v>0.15</v>
      </c>
      <c r="AA6" s="9">
        <v>0.15</v>
      </c>
      <c r="AB6" s="9">
        <v>0.15</v>
      </c>
      <c r="AC6" s="9">
        <v>0.15</v>
      </c>
      <c r="AD6" s="9">
        <v>0.15</v>
      </c>
      <c r="AE6" s="9">
        <v>0.15</v>
      </c>
      <c r="AF6" s="9">
        <v>0.15</v>
      </c>
      <c r="AG6" s="9">
        <v>0.15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2:48" x14ac:dyDescent="0.3">
      <c r="B7" s="2" t="s">
        <v>60</v>
      </c>
      <c r="D7" s="9">
        <v>0.1</v>
      </c>
      <c r="E7" s="9">
        <v>0.1</v>
      </c>
      <c r="F7" s="9">
        <v>0.15</v>
      </c>
      <c r="G7" s="9">
        <v>0.15</v>
      </c>
      <c r="H7" s="9">
        <v>0.15</v>
      </c>
      <c r="I7" s="9">
        <v>0.15</v>
      </c>
      <c r="J7" s="9">
        <v>0.15</v>
      </c>
      <c r="K7" s="9">
        <v>0.15</v>
      </c>
      <c r="L7" s="9">
        <v>0.15</v>
      </c>
      <c r="M7" s="9">
        <v>0.15</v>
      </c>
      <c r="N7" s="9">
        <v>0.15</v>
      </c>
      <c r="O7" s="9">
        <v>0.15</v>
      </c>
      <c r="P7" s="9">
        <v>0.15</v>
      </c>
      <c r="Q7" s="9">
        <v>0.15</v>
      </c>
      <c r="R7" s="9">
        <v>0.15</v>
      </c>
      <c r="S7" s="9">
        <v>0.15</v>
      </c>
      <c r="T7" s="9">
        <v>0.15</v>
      </c>
      <c r="U7" s="9">
        <v>0.15</v>
      </c>
      <c r="V7" s="9">
        <v>0.15</v>
      </c>
      <c r="W7" s="9">
        <v>0.15</v>
      </c>
      <c r="X7" s="9">
        <v>0.15</v>
      </c>
      <c r="Y7" s="9">
        <v>0.15</v>
      </c>
      <c r="Z7" s="9">
        <v>0.15</v>
      </c>
      <c r="AA7" s="9">
        <v>0.15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2:48" x14ac:dyDescent="0.3">
      <c r="B8" s="2" t="s">
        <v>61</v>
      </c>
      <c r="D8" s="9">
        <v>0.08</v>
      </c>
      <c r="E8" s="9">
        <v>0.08</v>
      </c>
      <c r="F8" s="9">
        <v>0.08</v>
      </c>
      <c r="G8" s="9">
        <v>0.08</v>
      </c>
      <c r="H8" s="9">
        <v>0.08</v>
      </c>
      <c r="I8" s="9">
        <v>0.08</v>
      </c>
      <c r="J8" s="9">
        <v>0.08</v>
      </c>
      <c r="K8" s="9">
        <v>0.08</v>
      </c>
      <c r="L8" s="9">
        <v>0.08</v>
      </c>
      <c r="M8" s="9">
        <v>0.08</v>
      </c>
      <c r="N8" s="9">
        <v>0.08</v>
      </c>
      <c r="O8" s="9">
        <v>0.08</v>
      </c>
      <c r="P8" s="9">
        <v>0.08</v>
      </c>
      <c r="Q8" s="9">
        <v>0.08</v>
      </c>
      <c r="R8" s="9">
        <v>0.08</v>
      </c>
      <c r="S8" s="9">
        <v>0.08</v>
      </c>
      <c r="T8" s="9">
        <v>0.08</v>
      </c>
      <c r="U8" s="9">
        <v>0.08</v>
      </c>
      <c r="V8" s="9">
        <v>0.08</v>
      </c>
      <c r="W8" s="9">
        <v>0.08</v>
      </c>
      <c r="X8" s="9">
        <v>0.08</v>
      </c>
      <c r="Y8" s="9">
        <v>0.08</v>
      </c>
      <c r="Z8" s="9">
        <v>0.08</v>
      </c>
      <c r="AA8" s="9">
        <v>0.08</v>
      </c>
      <c r="AB8" s="9">
        <v>0.08</v>
      </c>
      <c r="AC8" s="9">
        <v>0.08</v>
      </c>
      <c r="AD8" s="9">
        <v>0.08</v>
      </c>
      <c r="AE8" s="9">
        <v>0.08</v>
      </c>
      <c r="AF8" s="9">
        <v>0.08</v>
      </c>
      <c r="AG8" s="9">
        <v>0.08</v>
      </c>
      <c r="AH8" s="9">
        <v>0.08</v>
      </c>
      <c r="AI8" s="9">
        <v>0.08</v>
      </c>
      <c r="AJ8" s="9">
        <v>0.08</v>
      </c>
      <c r="AK8" s="9">
        <v>0.08</v>
      </c>
      <c r="AL8" s="9">
        <v>0.08</v>
      </c>
      <c r="AM8" s="9">
        <v>0.08</v>
      </c>
      <c r="AN8" s="9">
        <v>0.08</v>
      </c>
      <c r="AO8" s="9">
        <v>0.08</v>
      </c>
      <c r="AP8" s="9">
        <v>0.08</v>
      </c>
      <c r="AQ8" s="9">
        <v>0.08</v>
      </c>
      <c r="AR8" s="9">
        <v>0.08</v>
      </c>
      <c r="AS8" s="9">
        <v>0.08</v>
      </c>
      <c r="AT8" s="9">
        <v>0.08</v>
      </c>
      <c r="AU8" s="9">
        <v>0.08</v>
      </c>
    </row>
    <row r="9" spans="2:48" x14ac:dyDescent="0.3">
      <c r="B9" s="2" t="s">
        <v>62</v>
      </c>
      <c r="D9" s="9">
        <v>0.08</v>
      </c>
      <c r="E9" s="9">
        <v>0.08</v>
      </c>
      <c r="F9" s="9">
        <v>0.08</v>
      </c>
      <c r="G9" s="9">
        <v>0.08</v>
      </c>
      <c r="H9" s="9">
        <v>0.08</v>
      </c>
      <c r="I9" s="9">
        <v>0.08</v>
      </c>
      <c r="J9" s="9">
        <v>0.08</v>
      </c>
      <c r="K9" s="9">
        <v>0.08</v>
      </c>
      <c r="L9" s="9">
        <v>0.08</v>
      </c>
      <c r="M9" s="9">
        <v>0.08</v>
      </c>
      <c r="N9" s="9">
        <v>0.08</v>
      </c>
      <c r="O9" s="9">
        <v>0.08</v>
      </c>
      <c r="P9" s="9">
        <v>0.08</v>
      </c>
      <c r="Q9" s="9">
        <v>0.06</v>
      </c>
      <c r="R9" s="9">
        <v>0.06</v>
      </c>
      <c r="S9" s="9">
        <v>0.06</v>
      </c>
      <c r="T9" s="9">
        <v>0.06</v>
      </c>
      <c r="U9" s="9">
        <v>0.06</v>
      </c>
      <c r="V9" s="9">
        <v>0.06</v>
      </c>
      <c r="W9" s="9">
        <v>0.06</v>
      </c>
      <c r="X9" s="9">
        <v>0.06</v>
      </c>
      <c r="Y9" s="9">
        <v>0.06</v>
      </c>
      <c r="Z9" s="9">
        <v>0.06</v>
      </c>
      <c r="AA9" s="9">
        <v>0.06</v>
      </c>
      <c r="AB9" s="9">
        <v>0.06</v>
      </c>
      <c r="AC9" s="9">
        <v>0.06</v>
      </c>
      <c r="AD9" s="9">
        <v>0.06</v>
      </c>
      <c r="AE9" s="9">
        <v>0.06</v>
      </c>
      <c r="AF9" s="9">
        <v>0.06</v>
      </c>
      <c r="AG9" s="9">
        <v>0.06</v>
      </c>
      <c r="AH9" s="9">
        <v>0.06</v>
      </c>
      <c r="AI9" s="9">
        <v>0.06</v>
      </c>
      <c r="AJ9" s="9">
        <v>0.06</v>
      </c>
      <c r="AK9" s="9">
        <v>0.06</v>
      </c>
      <c r="AL9" s="9">
        <v>0.06</v>
      </c>
      <c r="AM9" s="9">
        <v>0.06</v>
      </c>
      <c r="AN9" s="9">
        <v>0.06</v>
      </c>
      <c r="AO9" s="9">
        <v>0.06</v>
      </c>
      <c r="AP9" s="9">
        <v>0.06</v>
      </c>
      <c r="AQ9" s="9">
        <v>0.06</v>
      </c>
      <c r="AR9" s="9">
        <v>0.06</v>
      </c>
      <c r="AS9" s="9">
        <v>0.06</v>
      </c>
      <c r="AT9" s="9">
        <v>0.06</v>
      </c>
      <c r="AU9" s="9">
        <v>0.06</v>
      </c>
    </row>
    <row r="10" spans="2:48" x14ac:dyDescent="0.3">
      <c r="B10" s="2" t="s">
        <v>11</v>
      </c>
      <c r="D10" s="9">
        <v>0.08</v>
      </c>
      <c r="E10" s="9">
        <v>0.08</v>
      </c>
      <c r="F10" s="9">
        <v>0.08</v>
      </c>
      <c r="G10" s="9">
        <v>0.08</v>
      </c>
      <c r="H10" s="9">
        <v>0.08</v>
      </c>
      <c r="I10" s="9">
        <v>0.08</v>
      </c>
      <c r="J10" s="9">
        <v>0.08</v>
      </c>
      <c r="K10" s="9">
        <v>0.08</v>
      </c>
      <c r="L10" s="9">
        <v>0.08</v>
      </c>
      <c r="M10" s="9">
        <v>0.08</v>
      </c>
      <c r="N10" s="9">
        <v>0.08</v>
      </c>
      <c r="O10" s="9">
        <v>0.08</v>
      </c>
      <c r="P10" s="9">
        <v>0.08</v>
      </c>
      <c r="Q10" s="9">
        <v>0.06</v>
      </c>
      <c r="R10" s="9">
        <v>0.06</v>
      </c>
      <c r="S10" s="9">
        <v>0.06</v>
      </c>
      <c r="T10" s="9">
        <v>0.06</v>
      </c>
      <c r="U10" s="9">
        <v>0.06</v>
      </c>
      <c r="V10" s="9">
        <v>0.06</v>
      </c>
      <c r="W10" s="9">
        <v>0.06</v>
      </c>
      <c r="X10" s="9">
        <v>0.06</v>
      </c>
      <c r="Y10" s="9">
        <v>0.06</v>
      </c>
      <c r="Z10" s="9">
        <v>0.06</v>
      </c>
      <c r="AA10" s="9">
        <v>0.06</v>
      </c>
      <c r="AB10" s="9">
        <v>0.06</v>
      </c>
      <c r="AC10" s="9">
        <v>0.06</v>
      </c>
      <c r="AD10" s="9">
        <v>0.06</v>
      </c>
      <c r="AE10" s="9">
        <v>0.06</v>
      </c>
      <c r="AF10" s="9">
        <v>0.06</v>
      </c>
      <c r="AG10" s="9">
        <v>0.06</v>
      </c>
      <c r="AH10" s="9">
        <v>0.06</v>
      </c>
      <c r="AI10" s="9">
        <v>0.06</v>
      </c>
      <c r="AJ10" s="9">
        <v>0.06</v>
      </c>
      <c r="AK10" s="9">
        <v>0.06</v>
      </c>
      <c r="AL10" s="9">
        <v>0.06</v>
      </c>
      <c r="AM10" s="9">
        <v>0.06</v>
      </c>
      <c r="AN10" s="9">
        <v>0.06</v>
      </c>
      <c r="AO10" s="9">
        <v>0.06</v>
      </c>
      <c r="AP10" s="9">
        <v>0.06</v>
      </c>
      <c r="AQ10" s="9">
        <v>0.06</v>
      </c>
      <c r="AR10" s="9">
        <v>0.06</v>
      </c>
      <c r="AS10" s="9">
        <v>0.06</v>
      </c>
      <c r="AT10" s="9">
        <v>0.06</v>
      </c>
      <c r="AU10" s="9">
        <v>0.06</v>
      </c>
    </row>
    <row r="11" spans="2:48" x14ac:dyDescent="0.3">
      <c r="B11" s="2" t="s">
        <v>23</v>
      </c>
      <c r="D11" s="9"/>
      <c r="E11" s="9"/>
      <c r="F11" s="9"/>
      <c r="G11" s="9"/>
      <c r="H11" s="9"/>
      <c r="I11" s="9"/>
      <c r="J11" s="9">
        <v>0.08</v>
      </c>
      <c r="K11" s="9">
        <v>0.08</v>
      </c>
      <c r="L11" s="9">
        <v>0.08</v>
      </c>
      <c r="M11" s="9">
        <v>0.08</v>
      </c>
      <c r="N11" s="9">
        <v>0.08</v>
      </c>
      <c r="O11" s="9">
        <v>0.08</v>
      </c>
      <c r="P11" s="9">
        <v>0.08</v>
      </c>
      <c r="Q11" s="9">
        <v>0.06</v>
      </c>
      <c r="R11" s="9">
        <v>0.06</v>
      </c>
      <c r="S11" s="9">
        <v>0.06</v>
      </c>
      <c r="T11" s="9">
        <v>0.06</v>
      </c>
      <c r="U11" s="9">
        <v>0.06</v>
      </c>
      <c r="V11" s="9">
        <v>0.06</v>
      </c>
      <c r="W11" s="9">
        <v>0.06</v>
      </c>
      <c r="X11" s="9">
        <v>0.06</v>
      </c>
      <c r="Y11" s="9">
        <v>0.06</v>
      </c>
      <c r="Z11" s="9">
        <v>0.06</v>
      </c>
      <c r="AA11" s="9">
        <v>0.06</v>
      </c>
      <c r="AB11" s="9">
        <v>0.06</v>
      </c>
      <c r="AC11" s="9">
        <v>0.06</v>
      </c>
      <c r="AD11" s="9">
        <v>0.06</v>
      </c>
      <c r="AE11" s="9">
        <v>0.06</v>
      </c>
      <c r="AF11" s="9">
        <v>0.06</v>
      </c>
      <c r="AG11" s="9">
        <v>0.06</v>
      </c>
      <c r="AH11" s="9">
        <v>0.06</v>
      </c>
      <c r="AI11" s="9">
        <v>0.06</v>
      </c>
      <c r="AJ11" s="9">
        <v>0.06</v>
      </c>
      <c r="AK11" s="9">
        <v>0.06</v>
      </c>
      <c r="AL11" s="9">
        <v>0.06</v>
      </c>
      <c r="AM11" s="9">
        <v>0.06</v>
      </c>
      <c r="AN11" s="9">
        <v>0.06</v>
      </c>
      <c r="AO11" s="9">
        <v>0.06</v>
      </c>
      <c r="AP11" s="9">
        <v>0.06</v>
      </c>
      <c r="AQ11" s="9">
        <v>0.06</v>
      </c>
      <c r="AR11" s="9">
        <v>0.06</v>
      </c>
      <c r="AS11" s="9">
        <v>0.06</v>
      </c>
      <c r="AT11" s="9">
        <v>0.06</v>
      </c>
      <c r="AU11" s="9">
        <v>0.06</v>
      </c>
    </row>
    <row r="12" spans="2:48" x14ac:dyDescent="0.3">
      <c r="B12" s="2" t="s">
        <v>15</v>
      </c>
      <c r="D12" s="9">
        <v>8.2500000000000004E-2</v>
      </c>
      <c r="E12" s="9">
        <v>8.2500000000000004E-2</v>
      </c>
      <c r="F12" s="9">
        <v>8.2500000000000004E-2</v>
      </c>
      <c r="G12" s="9">
        <v>8.2500000000000004E-2</v>
      </c>
      <c r="H12" s="9">
        <v>8.2500000000000004E-2</v>
      </c>
      <c r="I12" s="9">
        <v>8.2500000000000004E-2</v>
      </c>
      <c r="J12" s="9">
        <v>8.2500000000000004E-2</v>
      </c>
      <c r="K12" s="9">
        <v>8.2500000000000004E-2</v>
      </c>
      <c r="L12" s="9">
        <v>8.2500000000000004E-2</v>
      </c>
      <c r="M12" s="9">
        <v>8.2500000000000004E-2</v>
      </c>
      <c r="N12" s="9">
        <v>8.2500000000000004E-2</v>
      </c>
      <c r="O12" s="9">
        <v>8.2500000000000004E-2</v>
      </c>
      <c r="P12" s="9">
        <v>8.2500000000000004E-2</v>
      </c>
      <c r="Q12" s="9">
        <v>8.2500000000000004E-2</v>
      </c>
      <c r="R12" s="9">
        <v>8.2500000000000004E-2</v>
      </c>
      <c r="S12" s="9">
        <v>8.2500000000000004E-2</v>
      </c>
      <c r="T12" s="9">
        <v>8.2500000000000004E-2</v>
      </c>
      <c r="U12" s="9">
        <v>8.2500000000000004E-2</v>
      </c>
      <c r="V12" s="9">
        <v>8.2500000000000004E-2</v>
      </c>
      <c r="W12" s="9">
        <v>8.2500000000000004E-2</v>
      </c>
      <c r="X12" s="9">
        <v>8.2500000000000004E-2</v>
      </c>
      <c r="Y12" s="9">
        <v>8.2500000000000004E-2</v>
      </c>
      <c r="Z12" s="9">
        <v>8.2500000000000004E-2</v>
      </c>
      <c r="AA12" s="9">
        <v>8.2500000000000004E-2</v>
      </c>
      <c r="AB12" s="9">
        <v>8.2500000000000004E-2</v>
      </c>
      <c r="AC12" s="9">
        <v>8.2500000000000004E-2</v>
      </c>
      <c r="AD12" s="9">
        <v>8.2500000000000004E-2</v>
      </c>
      <c r="AE12" s="9">
        <v>8.2500000000000004E-2</v>
      </c>
      <c r="AF12" s="9">
        <v>8.2500000000000004E-2</v>
      </c>
      <c r="AG12" s="9">
        <v>8.2500000000000004E-2</v>
      </c>
      <c r="AH12" s="9">
        <v>8.2500000000000004E-2</v>
      </c>
      <c r="AI12" s="9">
        <v>8.2500000000000004E-2</v>
      </c>
      <c r="AJ12" s="9">
        <v>8.2500000000000004E-2</v>
      </c>
      <c r="AK12" s="9">
        <v>8.2500000000000004E-2</v>
      </c>
      <c r="AL12" s="9">
        <v>8.2500000000000004E-2</v>
      </c>
      <c r="AM12" s="9">
        <v>8.2500000000000004E-2</v>
      </c>
      <c r="AN12" s="9">
        <v>8.2500000000000004E-2</v>
      </c>
      <c r="AO12" s="9">
        <v>8.2500000000000004E-2</v>
      </c>
      <c r="AP12" s="9">
        <v>8.2500000000000004E-2</v>
      </c>
      <c r="AQ12" s="9">
        <v>8.2500000000000004E-2</v>
      </c>
      <c r="AR12" s="9">
        <v>8.2500000000000004E-2</v>
      </c>
      <c r="AS12" s="9">
        <v>8.2500000000000004E-2</v>
      </c>
      <c r="AT12" s="9">
        <v>8.2500000000000004E-2</v>
      </c>
      <c r="AU12" s="9">
        <v>8.2500000000000004E-2</v>
      </c>
    </row>
    <row r="13" spans="2:48" x14ac:dyDescent="0.3">
      <c r="B13" s="2" t="s">
        <v>29</v>
      </c>
      <c r="D13" s="10">
        <v>15</v>
      </c>
      <c r="E13" s="10">
        <f>+D13-1</f>
        <v>14</v>
      </c>
      <c r="F13" s="10">
        <f t="shared" ref="F13:S13" si="4">+E13-1</f>
        <v>13</v>
      </c>
      <c r="G13" s="10">
        <f t="shared" si="4"/>
        <v>12</v>
      </c>
      <c r="H13" s="10">
        <f t="shared" si="4"/>
        <v>11</v>
      </c>
      <c r="I13" s="10">
        <f t="shared" si="4"/>
        <v>10</v>
      </c>
      <c r="J13" s="10">
        <f t="shared" si="4"/>
        <v>9</v>
      </c>
      <c r="K13" s="10">
        <f t="shared" si="4"/>
        <v>8</v>
      </c>
      <c r="L13" s="10">
        <f t="shared" si="4"/>
        <v>7</v>
      </c>
      <c r="M13" s="10">
        <f t="shared" si="4"/>
        <v>6</v>
      </c>
      <c r="N13" s="10">
        <f t="shared" si="4"/>
        <v>5</v>
      </c>
      <c r="O13" s="10">
        <f t="shared" si="4"/>
        <v>4</v>
      </c>
      <c r="P13" s="10">
        <f t="shared" si="4"/>
        <v>3</v>
      </c>
      <c r="Q13" s="10">
        <f t="shared" si="4"/>
        <v>2</v>
      </c>
      <c r="R13" s="10">
        <f t="shared" si="4"/>
        <v>1</v>
      </c>
      <c r="S13" s="10">
        <f t="shared" si="4"/>
        <v>0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2:48" x14ac:dyDescent="0.3">
      <c r="B14" s="2" t="s">
        <v>46</v>
      </c>
      <c r="D14" s="9">
        <v>4.8000000000000001E-2</v>
      </c>
      <c r="E14" s="9">
        <v>4.8000000000000001E-2</v>
      </c>
      <c r="F14" s="9">
        <v>4.8000000000000001E-2</v>
      </c>
      <c r="G14" s="9">
        <v>4.8000000000000001E-2</v>
      </c>
      <c r="H14" s="9">
        <v>4.8000000000000001E-2</v>
      </c>
      <c r="I14" s="9">
        <v>4.8000000000000001E-2</v>
      </c>
      <c r="J14" s="9">
        <v>4.8000000000000001E-2</v>
      </c>
      <c r="K14" s="9">
        <v>4.8000000000000001E-2</v>
      </c>
      <c r="L14" s="9">
        <v>4.8000000000000001E-2</v>
      </c>
      <c r="M14" s="9">
        <v>4.8000000000000001E-2</v>
      </c>
      <c r="N14" s="9">
        <v>4.8000000000000001E-2</v>
      </c>
      <c r="O14" s="9">
        <v>4.8000000000000001E-2</v>
      </c>
      <c r="P14" s="9">
        <v>4.8000000000000001E-2</v>
      </c>
      <c r="Q14" s="9">
        <v>4.8000000000000001E-2</v>
      </c>
      <c r="R14" s="9">
        <v>4.8000000000000001E-2</v>
      </c>
      <c r="S14" s="9">
        <v>4.8000000000000001E-2</v>
      </c>
      <c r="T14" s="9">
        <v>4.8000000000000001E-2</v>
      </c>
      <c r="U14" s="9">
        <v>4.8000000000000001E-2</v>
      </c>
      <c r="V14" s="9">
        <v>4.8000000000000001E-2</v>
      </c>
      <c r="W14" s="9">
        <v>4.8000000000000001E-2</v>
      </c>
      <c r="X14" s="9">
        <v>4.8000000000000001E-2</v>
      </c>
      <c r="Y14" s="9">
        <v>4.8000000000000001E-2</v>
      </c>
      <c r="Z14" s="9">
        <v>4.8000000000000001E-2</v>
      </c>
      <c r="AA14" s="9">
        <v>4.8000000000000001E-2</v>
      </c>
      <c r="AB14" s="9">
        <v>4.8000000000000001E-2</v>
      </c>
      <c r="AC14" s="9">
        <v>4.8000000000000001E-2</v>
      </c>
      <c r="AD14" s="9">
        <v>4.8000000000000001E-2</v>
      </c>
      <c r="AE14" s="9">
        <v>4.8000000000000001E-2</v>
      </c>
      <c r="AF14" s="9">
        <v>4.8000000000000001E-2</v>
      </c>
      <c r="AG14" s="9">
        <v>4.8000000000000001E-2</v>
      </c>
      <c r="AH14" s="9">
        <v>4.8000000000000001E-2</v>
      </c>
      <c r="AI14" s="9">
        <v>4.8000000000000001E-2</v>
      </c>
      <c r="AJ14" s="9">
        <v>4.8000000000000001E-2</v>
      </c>
      <c r="AK14" s="9">
        <v>4.8000000000000001E-2</v>
      </c>
      <c r="AL14" s="9">
        <v>4.8000000000000001E-2</v>
      </c>
      <c r="AM14" s="9">
        <v>4.8000000000000001E-2</v>
      </c>
      <c r="AN14" s="9">
        <v>4.8000000000000001E-2</v>
      </c>
      <c r="AO14" s="9">
        <v>4.8000000000000001E-2</v>
      </c>
      <c r="AP14" s="9">
        <v>4.8000000000000001E-2</v>
      </c>
      <c r="AQ14" s="9">
        <v>4.8000000000000001E-2</v>
      </c>
      <c r="AR14" s="9">
        <v>4.8000000000000001E-2</v>
      </c>
      <c r="AS14" s="9">
        <v>4.8000000000000001E-2</v>
      </c>
      <c r="AT14" s="9">
        <v>4.8000000000000001E-2</v>
      </c>
      <c r="AU14" s="9">
        <v>4.8000000000000001E-2</v>
      </c>
    </row>
    <row r="15" spans="2:48" x14ac:dyDescent="0.3">
      <c r="B15" s="2" t="s">
        <v>19</v>
      </c>
      <c r="D15" s="9">
        <v>0.26</v>
      </c>
      <c r="E15" s="9">
        <v>0.26</v>
      </c>
      <c r="F15" s="9">
        <v>0.26</v>
      </c>
      <c r="G15" s="9">
        <v>0.26</v>
      </c>
      <c r="H15" s="9">
        <v>0.26</v>
      </c>
      <c r="I15" s="9">
        <v>0.26</v>
      </c>
      <c r="J15" s="9">
        <v>0.26</v>
      </c>
      <c r="K15" s="9">
        <v>0.26</v>
      </c>
      <c r="L15" s="9">
        <v>0.26</v>
      </c>
      <c r="M15" s="9">
        <v>0.26</v>
      </c>
      <c r="N15" s="9">
        <v>0.26</v>
      </c>
      <c r="O15" s="9">
        <v>0.26</v>
      </c>
      <c r="P15" s="9">
        <v>0.26</v>
      </c>
      <c r="Q15" s="9">
        <v>0.26</v>
      </c>
      <c r="R15" s="9">
        <v>0.26</v>
      </c>
      <c r="S15" s="9">
        <v>0.26</v>
      </c>
      <c r="T15" s="9">
        <v>0.26</v>
      </c>
      <c r="U15" s="9">
        <v>0.26</v>
      </c>
      <c r="V15" s="9">
        <v>0.26</v>
      </c>
      <c r="W15" s="9">
        <v>0.26</v>
      </c>
      <c r="X15" s="9">
        <v>0.26</v>
      </c>
      <c r="Y15" s="9">
        <v>0.26</v>
      </c>
      <c r="Z15" s="9">
        <v>0.26</v>
      </c>
      <c r="AA15" s="9">
        <v>0.26</v>
      </c>
      <c r="AB15" s="9">
        <v>0.26</v>
      </c>
      <c r="AC15" s="9">
        <v>0.26</v>
      </c>
      <c r="AD15" s="9">
        <v>0.26</v>
      </c>
      <c r="AE15" s="9">
        <v>0.26</v>
      </c>
      <c r="AF15" s="9">
        <v>0.26</v>
      </c>
      <c r="AG15" s="9">
        <v>0.26</v>
      </c>
      <c r="AH15" s="9">
        <v>0.26</v>
      </c>
      <c r="AI15" s="9">
        <v>0.26</v>
      </c>
      <c r="AJ15" s="9">
        <v>0.26</v>
      </c>
      <c r="AK15" s="9">
        <v>0.26</v>
      </c>
      <c r="AL15" s="9">
        <v>0.26</v>
      </c>
      <c r="AM15" s="9">
        <v>0.26</v>
      </c>
      <c r="AN15" s="9">
        <v>0.26</v>
      </c>
      <c r="AO15" s="9">
        <v>0.26</v>
      </c>
      <c r="AP15" s="9">
        <v>0.26</v>
      </c>
      <c r="AQ15" s="9">
        <v>0.26</v>
      </c>
      <c r="AR15" s="9">
        <v>0.26</v>
      </c>
      <c r="AS15" s="9">
        <v>0.26</v>
      </c>
      <c r="AT15" s="9">
        <v>0.26</v>
      </c>
      <c r="AU15" s="9">
        <v>0.26</v>
      </c>
    </row>
    <row r="16" spans="2:48" x14ac:dyDescent="0.3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2:48" x14ac:dyDescent="0.3">
      <c r="B17" s="2" t="s">
        <v>75</v>
      </c>
      <c r="D17" s="3">
        <v>22.5</v>
      </c>
      <c r="E17" s="11">
        <f>+D17-1</f>
        <v>21.5</v>
      </c>
      <c r="F17" s="11">
        <f t="shared" ref="F17:AU17" si="5">+E17-1</f>
        <v>20.5</v>
      </c>
      <c r="G17" s="11">
        <f t="shared" si="5"/>
        <v>19.5</v>
      </c>
      <c r="H17" s="11">
        <f t="shared" si="5"/>
        <v>18.5</v>
      </c>
      <c r="I17" s="11">
        <f t="shared" si="5"/>
        <v>17.5</v>
      </c>
      <c r="J17" s="11">
        <f t="shared" si="5"/>
        <v>16.5</v>
      </c>
      <c r="K17" s="11">
        <f t="shared" si="5"/>
        <v>15.5</v>
      </c>
      <c r="L17" s="11">
        <f t="shared" si="5"/>
        <v>14.5</v>
      </c>
      <c r="M17" s="11">
        <f t="shared" si="5"/>
        <v>13.5</v>
      </c>
      <c r="N17" s="11">
        <f t="shared" si="5"/>
        <v>12.5</v>
      </c>
      <c r="O17" s="11">
        <f t="shared" si="5"/>
        <v>11.5</v>
      </c>
      <c r="P17" s="11">
        <f t="shared" si="5"/>
        <v>10.5</v>
      </c>
      <c r="Q17" s="11">
        <f t="shared" si="5"/>
        <v>9.5</v>
      </c>
      <c r="R17" s="11">
        <f t="shared" si="5"/>
        <v>8.5</v>
      </c>
      <c r="S17" s="11">
        <f t="shared" si="5"/>
        <v>7.5</v>
      </c>
      <c r="T17" s="11">
        <f t="shared" si="5"/>
        <v>6.5</v>
      </c>
      <c r="U17" s="11">
        <f t="shared" si="5"/>
        <v>5.5</v>
      </c>
      <c r="V17" s="11">
        <f t="shared" si="5"/>
        <v>4.5</v>
      </c>
      <c r="W17" s="11">
        <f t="shared" si="5"/>
        <v>3.5</v>
      </c>
      <c r="X17" s="11">
        <f t="shared" si="5"/>
        <v>2.5</v>
      </c>
      <c r="Y17" s="11">
        <f t="shared" si="5"/>
        <v>1.5</v>
      </c>
      <c r="Z17" s="11">
        <f t="shared" si="5"/>
        <v>0.5</v>
      </c>
      <c r="AA17" s="11">
        <f t="shared" si="5"/>
        <v>-0.5</v>
      </c>
      <c r="AB17" s="11">
        <f t="shared" si="5"/>
        <v>-1.5</v>
      </c>
      <c r="AC17" s="11">
        <f t="shared" si="5"/>
        <v>-2.5</v>
      </c>
      <c r="AD17" s="11">
        <f t="shared" si="5"/>
        <v>-3.5</v>
      </c>
      <c r="AE17" s="11">
        <f t="shared" si="5"/>
        <v>-4.5</v>
      </c>
      <c r="AF17" s="11">
        <f t="shared" si="5"/>
        <v>-5.5</v>
      </c>
      <c r="AG17" s="11">
        <f t="shared" si="5"/>
        <v>-6.5</v>
      </c>
      <c r="AH17" s="11">
        <f t="shared" si="5"/>
        <v>-7.5</v>
      </c>
      <c r="AI17" s="11">
        <f t="shared" si="5"/>
        <v>-8.5</v>
      </c>
      <c r="AJ17" s="11">
        <f t="shared" si="5"/>
        <v>-9.5</v>
      </c>
      <c r="AK17" s="11">
        <f t="shared" si="5"/>
        <v>-10.5</v>
      </c>
      <c r="AL17" s="11">
        <f t="shared" si="5"/>
        <v>-11.5</v>
      </c>
      <c r="AM17" s="11">
        <f t="shared" si="5"/>
        <v>-12.5</v>
      </c>
      <c r="AN17" s="11">
        <f t="shared" si="5"/>
        <v>-13.5</v>
      </c>
      <c r="AO17" s="11">
        <f t="shared" si="5"/>
        <v>-14.5</v>
      </c>
      <c r="AP17" s="11">
        <f t="shared" si="5"/>
        <v>-15.5</v>
      </c>
      <c r="AQ17" s="11">
        <f t="shared" si="5"/>
        <v>-16.5</v>
      </c>
      <c r="AR17" s="11">
        <f t="shared" si="5"/>
        <v>-17.5</v>
      </c>
      <c r="AS17" s="11">
        <f t="shared" si="5"/>
        <v>-18.5</v>
      </c>
      <c r="AT17" s="11">
        <f t="shared" si="5"/>
        <v>-19.5</v>
      </c>
      <c r="AU17" s="11">
        <f t="shared" si="5"/>
        <v>-20.5</v>
      </c>
    </row>
    <row r="18" spans="2:48" x14ac:dyDescent="0.3">
      <c r="B18" s="2" t="s">
        <v>74</v>
      </c>
      <c r="D18" s="3">
        <v>28</v>
      </c>
      <c r="E18" s="11">
        <f>+D18-1</f>
        <v>27</v>
      </c>
      <c r="F18" s="11">
        <f t="shared" ref="F18:AU18" si="6">+E18-1</f>
        <v>26</v>
      </c>
      <c r="G18" s="11">
        <f t="shared" si="6"/>
        <v>25</v>
      </c>
      <c r="H18" s="11">
        <f t="shared" si="6"/>
        <v>24</v>
      </c>
      <c r="I18" s="11">
        <f t="shared" si="6"/>
        <v>23</v>
      </c>
      <c r="J18" s="11">
        <f t="shared" si="6"/>
        <v>22</v>
      </c>
      <c r="K18" s="11">
        <f t="shared" si="6"/>
        <v>21</v>
      </c>
      <c r="L18" s="11">
        <f t="shared" si="6"/>
        <v>20</v>
      </c>
      <c r="M18" s="11">
        <f t="shared" si="6"/>
        <v>19</v>
      </c>
      <c r="N18" s="11">
        <f t="shared" si="6"/>
        <v>18</v>
      </c>
      <c r="O18" s="11">
        <f t="shared" si="6"/>
        <v>17</v>
      </c>
      <c r="P18" s="11">
        <f t="shared" si="6"/>
        <v>16</v>
      </c>
      <c r="Q18" s="11">
        <f t="shared" si="6"/>
        <v>15</v>
      </c>
      <c r="R18" s="11">
        <f t="shared" si="6"/>
        <v>14</v>
      </c>
      <c r="S18" s="11">
        <f t="shared" si="6"/>
        <v>13</v>
      </c>
      <c r="T18" s="11">
        <f t="shared" si="6"/>
        <v>12</v>
      </c>
      <c r="U18" s="11">
        <f t="shared" si="6"/>
        <v>11</v>
      </c>
      <c r="V18" s="11">
        <f t="shared" si="6"/>
        <v>10</v>
      </c>
      <c r="W18" s="11">
        <f t="shared" si="6"/>
        <v>9</v>
      </c>
      <c r="X18" s="11">
        <f t="shared" si="6"/>
        <v>8</v>
      </c>
      <c r="Y18" s="11">
        <f t="shared" si="6"/>
        <v>7</v>
      </c>
      <c r="Z18" s="11">
        <f t="shared" si="6"/>
        <v>6</v>
      </c>
      <c r="AA18" s="11">
        <f t="shared" si="6"/>
        <v>5</v>
      </c>
      <c r="AB18" s="11">
        <f t="shared" si="6"/>
        <v>4</v>
      </c>
      <c r="AC18" s="11">
        <f t="shared" si="6"/>
        <v>3</v>
      </c>
      <c r="AD18" s="11">
        <f t="shared" si="6"/>
        <v>2</v>
      </c>
      <c r="AE18" s="11">
        <f t="shared" si="6"/>
        <v>1</v>
      </c>
      <c r="AF18" s="11">
        <f t="shared" si="6"/>
        <v>0</v>
      </c>
      <c r="AG18" s="11">
        <f t="shared" si="6"/>
        <v>-1</v>
      </c>
      <c r="AH18" s="11">
        <f t="shared" si="6"/>
        <v>-2</v>
      </c>
      <c r="AI18" s="11">
        <f t="shared" si="6"/>
        <v>-3</v>
      </c>
      <c r="AJ18" s="11">
        <f t="shared" si="6"/>
        <v>-4</v>
      </c>
      <c r="AK18" s="11">
        <f>+AJ18-1</f>
        <v>-5</v>
      </c>
      <c r="AL18" s="11">
        <f t="shared" si="6"/>
        <v>-6</v>
      </c>
      <c r="AM18" s="11">
        <f t="shared" si="6"/>
        <v>-7</v>
      </c>
      <c r="AN18" s="11">
        <f t="shared" si="6"/>
        <v>-8</v>
      </c>
      <c r="AO18" s="11">
        <f t="shared" si="6"/>
        <v>-9</v>
      </c>
      <c r="AP18" s="11">
        <f t="shared" si="6"/>
        <v>-10</v>
      </c>
      <c r="AQ18" s="11">
        <f t="shared" si="6"/>
        <v>-11</v>
      </c>
      <c r="AR18" s="11">
        <f t="shared" si="6"/>
        <v>-12</v>
      </c>
      <c r="AS18" s="11">
        <f t="shared" si="6"/>
        <v>-13</v>
      </c>
      <c r="AT18" s="11">
        <f t="shared" si="6"/>
        <v>-14</v>
      </c>
      <c r="AU18" s="11">
        <f t="shared" si="6"/>
        <v>-15</v>
      </c>
    </row>
    <row r="20" spans="2:48" s="4" customFormat="1" x14ac:dyDescent="0.3">
      <c r="B20" s="1" t="s">
        <v>7</v>
      </c>
      <c r="D20" s="5">
        <v>2025</v>
      </c>
      <c r="E20" s="6">
        <f>+D20+1</f>
        <v>2026</v>
      </c>
      <c r="F20" s="6">
        <f t="shared" ref="F20:L20" si="7">+E20+1</f>
        <v>2027</v>
      </c>
      <c r="G20" s="6">
        <f t="shared" si="7"/>
        <v>2028</v>
      </c>
      <c r="H20" s="6">
        <f t="shared" si="7"/>
        <v>2029</v>
      </c>
      <c r="I20" s="6">
        <f t="shared" si="7"/>
        <v>2030</v>
      </c>
      <c r="J20" s="6">
        <f t="shared" si="7"/>
        <v>2031</v>
      </c>
      <c r="K20" s="6">
        <f t="shared" si="7"/>
        <v>2032</v>
      </c>
      <c r="L20" s="6">
        <f t="shared" si="7"/>
        <v>2033</v>
      </c>
      <c r="M20" s="6">
        <f>+L20+1</f>
        <v>2034</v>
      </c>
      <c r="N20" s="6">
        <f t="shared" ref="N20:W20" si="8">+M20+1</f>
        <v>2035</v>
      </c>
      <c r="O20" s="6">
        <f t="shared" si="8"/>
        <v>2036</v>
      </c>
      <c r="P20" s="6">
        <f t="shared" si="8"/>
        <v>2037</v>
      </c>
      <c r="Q20" s="6">
        <f t="shared" si="8"/>
        <v>2038</v>
      </c>
      <c r="R20" s="6">
        <f t="shared" si="8"/>
        <v>2039</v>
      </c>
      <c r="S20" s="6">
        <f t="shared" si="8"/>
        <v>2040</v>
      </c>
      <c r="T20" s="6">
        <f t="shared" si="8"/>
        <v>2041</v>
      </c>
      <c r="U20" s="6">
        <f t="shared" si="8"/>
        <v>2042</v>
      </c>
      <c r="V20" s="6">
        <f t="shared" si="8"/>
        <v>2043</v>
      </c>
      <c r="W20" s="6">
        <f t="shared" si="8"/>
        <v>2044</v>
      </c>
      <c r="X20" s="6">
        <f t="shared" ref="X20:AJ20" si="9">+W20+1</f>
        <v>2045</v>
      </c>
      <c r="Y20" s="6">
        <f t="shared" si="9"/>
        <v>2046</v>
      </c>
      <c r="Z20" s="6">
        <f t="shared" si="9"/>
        <v>2047</v>
      </c>
      <c r="AA20" s="6">
        <f t="shared" si="9"/>
        <v>2048</v>
      </c>
      <c r="AB20" s="6">
        <f t="shared" si="9"/>
        <v>2049</v>
      </c>
      <c r="AC20" s="6">
        <f t="shared" si="9"/>
        <v>2050</v>
      </c>
      <c r="AD20" s="6">
        <f t="shared" si="9"/>
        <v>2051</v>
      </c>
      <c r="AE20" s="6">
        <f t="shared" si="9"/>
        <v>2052</v>
      </c>
      <c r="AF20" s="6">
        <f t="shared" si="9"/>
        <v>2053</v>
      </c>
      <c r="AG20" s="6">
        <f t="shared" si="9"/>
        <v>2054</v>
      </c>
      <c r="AH20" s="6">
        <f t="shared" si="9"/>
        <v>2055</v>
      </c>
      <c r="AI20" s="6">
        <f t="shared" si="9"/>
        <v>2056</v>
      </c>
      <c r="AJ20" s="6">
        <f t="shared" si="9"/>
        <v>2057</v>
      </c>
      <c r="AK20" s="6">
        <f>+AJ20+1</f>
        <v>2058</v>
      </c>
      <c r="AL20" s="6">
        <f t="shared" ref="AL20:AU20" si="10">+AK20+1</f>
        <v>2059</v>
      </c>
      <c r="AM20" s="6">
        <f t="shared" si="10"/>
        <v>2060</v>
      </c>
      <c r="AN20" s="6">
        <f t="shared" si="10"/>
        <v>2061</v>
      </c>
      <c r="AO20" s="6">
        <f t="shared" si="10"/>
        <v>2062</v>
      </c>
      <c r="AP20" s="6">
        <f t="shared" si="10"/>
        <v>2063</v>
      </c>
      <c r="AQ20" s="6">
        <f t="shared" si="10"/>
        <v>2064</v>
      </c>
      <c r="AR20" s="6">
        <f t="shared" si="10"/>
        <v>2065</v>
      </c>
      <c r="AS20" s="6">
        <f t="shared" si="10"/>
        <v>2066</v>
      </c>
      <c r="AT20" s="6">
        <f t="shared" si="10"/>
        <v>2067</v>
      </c>
      <c r="AU20" s="6">
        <f t="shared" si="10"/>
        <v>2068</v>
      </c>
    </row>
    <row r="21" spans="2:48" x14ac:dyDescent="0.3">
      <c r="B21" s="2" t="s">
        <v>63</v>
      </c>
      <c r="D21" s="3">
        <v>55000</v>
      </c>
      <c r="E21" s="3">
        <f t="shared" ref="E21:AG21" si="11">+D21*(1+E3)</f>
        <v>57750</v>
      </c>
      <c r="F21" s="3">
        <f t="shared" si="11"/>
        <v>60060</v>
      </c>
      <c r="G21" s="3">
        <f t="shared" si="11"/>
        <v>62462.400000000001</v>
      </c>
      <c r="H21" s="3">
        <f t="shared" si="11"/>
        <v>64960.896000000001</v>
      </c>
      <c r="I21" s="3">
        <f t="shared" si="11"/>
        <v>67559.331839999999</v>
      </c>
      <c r="J21" s="3">
        <f t="shared" si="11"/>
        <v>70261.705113600008</v>
      </c>
      <c r="K21" s="3">
        <f t="shared" si="11"/>
        <v>73072.173318144007</v>
      </c>
      <c r="L21" s="3">
        <f t="shared" si="11"/>
        <v>75995.060250869763</v>
      </c>
      <c r="M21" s="3">
        <f t="shared" si="11"/>
        <v>79034.86266090456</v>
      </c>
      <c r="N21" s="3">
        <f t="shared" si="11"/>
        <v>82196.257167340751</v>
      </c>
      <c r="O21" s="3">
        <f t="shared" si="11"/>
        <v>85484.107454034383</v>
      </c>
      <c r="P21" s="3">
        <f t="shared" si="11"/>
        <v>88903.471752195765</v>
      </c>
      <c r="Q21" s="3">
        <f t="shared" si="11"/>
        <v>91126.058546000655</v>
      </c>
      <c r="R21" s="3">
        <f t="shared" si="11"/>
        <v>93404.210009650662</v>
      </c>
      <c r="S21" s="3">
        <f t="shared" si="11"/>
        <v>95739.315259891926</v>
      </c>
      <c r="T21" s="3">
        <f t="shared" si="11"/>
        <v>98132.798141389212</v>
      </c>
      <c r="U21" s="3">
        <f t="shared" si="11"/>
        <v>100586.11809492394</v>
      </c>
      <c r="V21" s="3">
        <f t="shared" si="11"/>
        <v>103100.77104729702</v>
      </c>
      <c r="W21" s="3">
        <f t="shared" si="11"/>
        <v>105678.29032347944</v>
      </c>
      <c r="X21" s="12">
        <f t="shared" si="11"/>
        <v>108320.24758156641</v>
      </c>
      <c r="Y21" s="12">
        <f t="shared" si="11"/>
        <v>111028.25377110556</v>
      </c>
      <c r="Z21" s="12">
        <f t="shared" si="11"/>
        <v>113803.96011538319</v>
      </c>
      <c r="AA21" s="12">
        <f t="shared" si="11"/>
        <v>116649.05911826776</v>
      </c>
      <c r="AB21" s="12">
        <f t="shared" si="11"/>
        <v>119565.28559622445</v>
      </c>
      <c r="AC21" s="12">
        <f t="shared" si="11"/>
        <v>122554.41773613005</v>
      </c>
      <c r="AD21" s="12">
        <f t="shared" si="11"/>
        <v>125618.2781795333</v>
      </c>
      <c r="AE21" s="12">
        <f t="shared" si="11"/>
        <v>128758.73513402163</v>
      </c>
      <c r="AF21" s="12">
        <f t="shared" si="11"/>
        <v>131977.70351237216</v>
      </c>
      <c r="AG21" s="12">
        <f t="shared" si="11"/>
        <v>135277.14610018145</v>
      </c>
      <c r="AH21" s="12">
        <v>20000</v>
      </c>
      <c r="AI21" s="12">
        <v>20000</v>
      </c>
      <c r="AJ21" s="12">
        <f>+AI21*(1+AJ3)</f>
        <v>20000</v>
      </c>
      <c r="AK21" s="12">
        <f>+AJ21*(1+AK3)</f>
        <v>20000</v>
      </c>
      <c r="AL21" s="12">
        <f>+AK21*(1+AL3)</f>
        <v>20000</v>
      </c>
      <c r="AM21" s="12">
        <f>+AL21*(1+AM3)</f>
        <v>20000</v>
      </c>
      <c r="AN21" s="12">
        <v>0</v>
      </c>
      <c r="AO21" s="12">
        <v>0</v>
      </c>
      <c r="AP21" s="12">
        <f t="shared" ref="AP21:AU21" si="12">+AO21*(1+AP3)</f>
        <v>0</v>
      </c>
      <c r="AQ21" s="12">
        <f t="shared" si="12"/>
        <v>0</v>
      </c>
      <c r="AR21" s="12">
        <f t="shared" si="12"/>
        <v>0</v>
      </c>
      <c r="AS21" s="12">
        <f t="shared" si="12"/>
        <v>0</v>
      </c>
      <c r="AT21" s="12">
        <f t="shared" si="12"/>
        <v>0</v>
      </c>
      <c r="AU21" s="12">
        <f t="shared" si="12"/>
        <v>0</v>
      </c>
      <c r="AV21" s="13">
        <f>SUM(D21:AU21)</f>
        <v>2944060.9138245075</v>
      </c>
    </row>
    <row r="22" spans="2:48" x14ac:dyDescent="0.3">
      <c r="B22" s="2" t="s">
        <v>64</v>
      </c>
      <c r="D22" s="3">
        <v>1000</v>
      </c>
      <c r="E22" s="3">
        <v>2000</v>
      </c>
      <c r="F22" s="3">
        <v>2000</v>
      </c>
      <c r="G22" s="3">
        <v>2000</v>
      </c>
      <c r="H22" s="3">
        <v>2000</v>
      </c>
      <c r="I22" s="3">
        <v>2000</v>
      </c>
      <c r="J22" s="3">
        <v>2000</v>
      </c>
      <c r="K22" s="3">
        <v>2000</v>
      </c>
      <c r="L22" s="3">
        <v>2000</v>
      </c>
      <c r="M22" s="3">
        <v>2000</v>
      </c>
      <c r="N22" s="3">
        <v>2000</v>
      </c>
      <c r="O22" s="3">
        <v>2000</v>
      </c>
      <c r="P22" s="3">
        <v>2000</v>
      </c>
      <c r="Q22" s="3">
        <v>2000</v>
      </c>
      <c r="R22" s="3">
        <v>2000</v>
      </c>
      <c r="S22" s="3">
        <v>2000</v>
      </c>
      <c r="T22" s="3">
        <v>2000</v>
      </c>
      <c r="U22" s="3">
        <v>2000</v>
      </c>
      <c r="V22" s="3">
        <v>2000</v>
      </c>
      <c r="W22" s="3">
        <v>2000</v>
      </c>
      <c r="X22" s="12">
        <v>2000</v>
      </c>
      <c r="Y22" s="12">
        <v>2000</v>
      </c>
      <c r="Z22" s="12">
        <v>2000</v>
      </c>
      <c r="AA22" s="12">
        <v>2000</v>
      </c>
      <c r="AB22" s="12">
        <v>2000</v>
      </c>
      <c r="AC22" s="12">
        <v>2000</v>
      </c>
      <c r="AD22" s="12">
        <v>2000</v>
      </c>
      <c r="AE22" s="12">
        <v>2000</v>
      </c>
      <c r="AF22" s="12">
        <v>2000</v>
      </c>
      <c r="AG22" s="12">
        <v>2000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3">
        <f>SUM(D22:AU22)</f>
        <v>59000</v>
      </c>
    </row>
    <row r="23" spans="2:48" x14ac:dyDescent="0.3">
      <c r="B23" s="2" t="s">
        <v>65</v>
      </c>
      <c r="D23" s="3">
        <v>100000</v>
      </c>
      <c r="E23" s="3">
        <f t="shared" ref="E23:V23" si="13">+D23*(1+E4)</f>
        <v>102499.99999999999</v>
      </c>
      <c r="F23" s="3">
        <f t="shared" si="13"/>
        <v>105062.49999999997</v>
      </c>
      <c r="G23" s="3">
        <f t="shared" si="13"/>
        <v>107689.06249999996</v>
      </c>
      <c r="H23" s="3">
        <f t="shared" si="13"/>
        <v>110381.28906249994</v>
      </c>
      <c r="I23" s="3">
        <f t="shared" si="13"/>
        <v>113140.82128906243</v>
      </c>
      <c r="J23" s="3">
        <f t="shared" si="13"/>
        <v>115969.34182128898</v>
      </c>
      <c r="K23" s="3">
        <f t="shared" si="13"/>
        <v>118868.5753668212</v>
      </c>
      <c r="L23" s="3">
        <f t="shared" si="13"/>
        <v>121840.28975099172</v>
      </c>
      <c r="M23" s="3">
        <f t="shared" si="13"/>
        <v>124886.29699476651</v>
      </c>
      <c r="N23" s="3">
        <f t="shared" si="13"/>
        <v>128008.45441963566</v>
      </c>
      <c r="O23" s="3">
        <f t="shared" si="13"/>
        <v>131208.66578012652</v>
      </c>
      <c r="P23" s="3">
        <f t="shared" si="13"/>
        <v>134488.88242462967</v>
      </c>
      <c r="Q23" s="3">
        <f t="shared" si="13"/>
        <v>137851.10448524539</v>
      </c>
      <c r="R23" s="3">
        <f t="shared" si="13"/>
        <v>141297.38209737651</v>
      </c>
      <c r="S23" s="3">
        <f t="shared" si="13"/>
        <v>144829.81664981091</v>
      </c>
      <c r="T23" s="3">
        <f t="shared" si="13"/>
        <v>148450.56206605615</v>
      </c>
      <c r="U23" s="3">
        <f t="shared" si="13"/>
        <v>152161.82611770753</v>
      </c>
      <c r="V23" s="3">
        <f t="shared" si="13"/>
        <v>155965.87177065021</v>
      </c>
      <c r="W23" s="3">
        <v>75000</v>
      </c>
      <c r="X23" s="12">
        <f>+W23*(1+X4)</f>
        <v>76875</v>
      </c>
      <c r="Y23" s="12">
        <f>+X23*(1+Y4)</f>
        <v>78796.875</v>
      </c>
      <c r="Z23" s="12">
        <f>+Y23*(1+Z4)</f>
        <v>80766.796875</v>
      </c>
      <c r="AA23" s="12">
        <f>+Z23*(1+AA4)</f>
        <v>82785.966796875</v>
      </c>
      <c r="AB23" s="12">
        <v>25000</v>
      </c>
      <c r="AC23" s="12">
        <f>+AB23*(1+AC4)</f>
        <v>25000</v>
      </c>
      <c r="AD23" s="12">
        <v>25000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3">
        <f>SUM(D23:AU23)</f>
        <v>2863825.3812685441</v>
      </c>
    </row>
    <row r="24" spans="2:48" x14ac:dyDescent="0.3">
      <c r="B24" s="2" t="s">
        <v>66</v>
      </c>
      <c r="D24" s="3">
        <v>14500</v>
      </c>
      <c r="E24" s="3">
        <v>11500</v>
      </c>
      <c r="F24" s="3">
        <v>12000</v>
      </c>
      <c r="G24" s="3">
        <v>12500</v>
      </c>
      <c r="H24" s="3">
        <v>12.5</v>
      </c>
      <c r="I24" s="3">
        <v>12.55</v>
      </c>
      <c r="J24" s="3">
        <v>14000</v>
      </c>
      <c r="K24" s="3">
        <v>14500</v>
      </c>
      <c r="L24" s="3">
        <v>15000</v>
      </c>
      <c r="M24" s="3">
        <v>15000</v>
      </c>
      <c r="N24" s="3">
        <v>15000</v>
      </c>
      <c r="O24" s="3">
        <v>16000</v>
      </c>
      <c r="P24" s="3">
        <v>16000</v>
      </c>
      <c r="Q24" s="3">
        <v>16000</v>
      </c>
      <c r="R24" s="3">
        <v>16000</v>
      </c>
      <c r="S24" s="3">
        <v>16500</v>
      </c>
      <c r="T24" s="3">
        <v>16500</v>
      </c>
      <c r="U24" s="3">
        <v>17000</v>
      </c>
      <c r="V24" s="3">
        <v>17000</v>
      </c>
      <c r="W24" s="3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3">
        <f>SUM(D24:AU24)</f>
        <v>255025.05</v>
      </c>
    </row>
    <row r="25" spans="2:48" x14ac:dyDescent="0.3">
      <c r="B25" s="2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16140</v>
      </c>
      <c r="AK25" s="12">
        <v>16140</v>
      </c>
      <c r="AL25" s="12">
        <v>16140</v>
      </c>
      <c r="AM25" s="12">
        <v>16140</v>
      </c>
      <c r="AN25" s="12">
        <v>16140</v>
      </c>
      <c r="AO25" s="12">
        <v>16140</v>
      </c>
      <c r="AP25" s="12">
        <v>16140</v>
      </c>
      <c r="AQ25" s="12">
        <v>16140</v>
      </c>
      <c r="AR25" s="12">
        <v>16140</v>
      </c>
      <c r="AS25" s="12">
        <v>16140</v>
      </c>
      <c r="AT25" s="12">
        <v>16140</v>
      </c>
      <c r="AU25" s="12">
        <v>16140</v>
      </c>
      <c r="AV25" s="13">
        <f>SUM(D25:AU25)</f>
        <v>193680</v>
      </c>
    </row>
    <row r="26" spans="2:48" x14ac:dyDescent="0.3">
      <c r="B26" s="2" t="s">
        <v>67</v>
      </c>
      <c r="E26" s="3"/>
      <c r="V26" s="3">
        <v>18620</v>
      </c>
      <c r="W26" s="3">
        <v>18620</v>
      </c>
      <c r="X26" s="13">
        <v>18620</v>
      </c>
      <c r="Y26" s="13">
        <v>18620</v>
      </c>
      <c r="Z26" s="13">
        <v>18620</v>
      </c>
      <c r="AA26" s="13">
        <v>18620</v>
      </c>
      <c r="AB26" s="13">
        <v>18620</v>
      </c>
      <c r="AC26" s="13">
        <v>18620</v>
      </c>
      <c r="AD26" s="13">
        <v>18620</v>
      </c>
      <c r="AE26" s="13">
        <v>18620</v>
      </c>
      <c r="AF26" s="13">
        <v>18620</v>
      </c>
      <c r="AG26" s="13">
        <v>18620</v>
      </c>
      <c r="AH26" s="13">
        <v>18620</v>
      </c>
      <c r="AI26" s="13">
        <v>18620</v>
      </c>
      <c r="AJ26" s="13">
        <v>18620</v>
      </c>
      <c r="AK26" s="13">
        <v>18620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>
        <f>SUM(D25:AU25)</f>
        <v>193680</v>
      </c>
    </row>
    <row r="27" spans="2:48" x14ac:dyDescent="0.3">
      <c r="B27" s="2" t="s">
        <v>50</v>
      </c>
      <c r="E27" s="3"/>
      <c r="V27" s="3"/>
      <c r="W27" s="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>
        <v>80000</v>
      </c>
      <c r="AI27" s="13">
        <v>80000</v>
      </c>
      <c r="AJ27" s="13">
        <v>80000</v>
      </c>
      <c r="AK27" s="13">
        <v>150000</v>
      </c>
      <c r="AL27" s="13">
        <v>150000</v>
      </c>
      <c r="AM27" s="13">
        <v>150000</v>
      </c>
      <c r="AN27" s="13">
        <v>150000</v>
      </c>
      <c r="AO27" s="13">
        <v>170000</v>
      </c>
      <c r="AP27" s="13">
        <v>250000</v>
      </c>
      <c r="AQ27" s="13">
        <v>2.5249999999999999</v>
      </c>
      <c r="AR27" s="13">
        <v>2.5499999999999998</v>
      </c>
      <c r="AS27" s="13">
        <v>2.5750000000000002</v>
      </c>
      <c r="AT27" s="13">
        <v>400000</v>
      </c>
      <c r="AU27" s="13">
        <v>410000</v>
      </c>
      <c r="AV27" s="13">
        <f>SUM(D27:AU27)</f>
        <v>2070007.65</v>
      </c>
    </row>
    <row r="28" spans="2:48" x14ac:dyDescent="0.3">
      <c r="B28" s="2" t="s">
        <v>48</v>
      </c>
      <c r="E28" s="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>
        <v>15000</v>
      </c>
      <c r="AI28" s="13">
        <v>20000</v>
      </c>
      <c r="AJ28" s="13">
        <v>20000</v>
      </c>
      <c r="AK28" s="13">
        <v>5000</v>
      </c>
      <c r="AL28" s="13">
        <v>35000</v>
      </c>
      <c r="AM28" s="13">
        <v>40000</v>
      </c>
      <c r="AN28" s="13">
        <v>65000</v>
      </c>
      <c r="AO28" s="13">
        <v>48283</v>
      </c>
      <c r="AP28" s="13"/>
      <c r="AQ28" s="13"/>
      <c r="AR28" s="13"/>
      <c r="AS28" s="13"/>
      <c r="AT28" s="13"/>
      <c r="AU28" s="13"/>
      <c r="AV28" s="13"/>
    </row>
    <row r="29" spans="2:48" x14ac:dyDescent="0.3">
      <c r="B29" s="2" t="s">
        <v>49</v>
      </c>
      <c r="E29" s="3"/>
      <c r="X29" s="13"/>
      <c r="Y29" s="13"/>
      <c r="Z29" s="13"/>
      <c r="AA29" s="13"/>
      <c r="AB29" s="13"/>
      <c r="AC29" s="13"/>
      <c r="AD29" s="13"/>
      <c r="AE29" s="13"/>
      <c r="AF29" s="13"/>
      <c r="AG29" s="13">
        <v>10000</v>
      </c>
      <c r="AH29" s="13">
        <v>50000</v>
      </c>
      <c r="AI29" s="13">
        <v>50000</v>
      </c>
      <c r="AJ29" s="13">
        <v>40665</v>
      </c>
      <c r="AK29" s="13">
        <v>50000</v>
      </c>
      <c r="AL29" s="13">
        <v>50000</v>
      </c>
      <c r="AM29" s="13">
        <v>50000</v>
      </c>
      <c r="AN29" s="13">
        <v>50000</v>
      </c>
      <c r="AO29" s="13">
        <v>50000</v>
      </c>
      <c r="AP29" s="13">
        <v>50000</v>
      </c>
      <c r="AQ29" s="13"/>
      <c r="AR29" s="13"/>
      <c r="AS29" s="13"/>
      <c r="AT29" s="13"/>
      <c r="AU29" s="13"/>
      <c r="AV29" s="13"/>
    </row>
    <row r="30" spans="2:48" x14ac:dyDescent="0.3"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2:48" x14ac:dyDescent="0.3">
      <c r="B31" s="14" t="s">
        <v>10</v>
      </c>
      <c r="C31" s="4"/>
      <c r="D31" s="3">
        <f>SUM(D21:D30)</f>
        <v>170500</v>
      </c>
      <c r="E31" s="3">
        <f t="shared" ref="E31:M31" si="14">SUM(E21:E30)</f>
        <v>173750</v>
      </c>
      <c r="F31" s="3">
        <f t="shared" si="14"/>
        <v>179122.49999999997</v>
      </c>
      <c r="G31" s="3">
        <f t="shared" si="14"/>
        <v>184651.46249999997</v>
      </c>
      <c r="H31" s="3">
        <f t="shared" si="14"/>
        <v>177354.68506249995</v>
      </c>
      <c r="I31" s="3">
        <f t="shared" si="14"/>
        <v>182712.70312906243</v>
      </c>
      <c r="J31" s="3">
        <f t="shared" si="14"/>
        <v>202231.04693488899</v>
      </c>
      <c r="K31" s="3">
        <f t="shared" si="14"/>
        <v>208440.74868496519</v>
      </c>
      <c r="L31" s="3">
        <f t="shared" si="14"/>
        <v>214835.35000186149</v>
      </c>
      <c r="M31" s="3">
        <f t="shared" si="14"/>
        <v>220921.15965567107</v>
      </c>
      <c r="N31" s="3">
        <f t="shared" ref="N31:AU31" si="15">SUM(N21:N30)</f>
        <v>227204.71158697642</v>
      </c>
      <c r="O31" s="3">
        <f t="shared" si="15"/>
        <v>234692.77323416091</v>
      </c>
      <c r="P31" s="3">
        <f t="shared" si="15"/>
        <v>241392.35417682544</v>
      </c>
      <c r="Q31" s="3">
        <f t="shared" si="15"/>
        <v>246977.16303124605</v>
      </c>
      <c r="R31" s="3">
        <f t="shared" si="15"/>
        <v>252701.59210702719</v>
      </c>
      <c r="S31" s="3">
        <f t="shared" si="15"/>
        <v>259069.13190970285</v>
      </c>
      <c r="T31" s="3">
        <f t="shared" si="15"/>
        <v>265083.36020744534</v>
      </c>
      <c r="U31" s="3">
        <f t="shared" si="15"/>
        <v>271747.94421263144</v>
      </c>
      <c r="V31" s="3">
        <f t="shared" si="15"/>
        <v>296686.6428179472</v>
      </c>
      <c r="W31" s="3">
        <f t="shared" si="15"/>
        <v>201298.29032347945</v>
      </c>
      <c r="X31" s="12">
        <f t="shared" si="15"/>
        <v>205815.24758156639</v>
      </c>
      <c r="Y31" s="12">
        <f t="shared" si="15"/>
        <v>210445.12877110555</v>
      </c>
      <c r="Z31" s="12">
        <f t="shared" si="15"/>
        <v>215190.7569903832</v>
      </c>
      <c r="AA31" s="12">
        <f t="shared" si="15"/>
        <v>220055.02591514276</v>
      </c>
      <c r="AB31" s="12">
        <f t="shared" si="15"/>
        <v>165185.28559622445</v>
      </c>
      <c r="AC31" s="12">
        <f t="shared" si="15"/>
        <v>168174.41773613007</v>
      </c>
      <c r="AD31" s="12">
        <f t="shared" si="15"/>
        <v>171238.27817953331</v>
      </c>
      <c r="AE31" s="12">
        <f t="shared" si="15"/>
        <v>149378.73513402161</v>
      </c>
      <c r="AF31" s="12">
        <f t="shared" si="15"/>
        <v>152597.70351237216</v>
      </c>
      <c r="AG31" s="12">
        <f t="shared" si="15"/>
        <v>165897.14610018145</v>
      </c>
      <c r="AH31" s="12">
        <f t="shared" si="15"/>
        <v>183620</v>
      </c>
      <c r="AI31" s="12">
        <f t="shared" si="15"/>
        <v>188620</v>
      </c>
      <c r="AJ31" s="12">
        <f t="shared" si="15"/>
        <v>195425</v>
      </c>
      <c r="AK31" s="12">
        <f t="shared" si="15"/>
        <v>259760</v>
      </c>
      <c r="AL31" s="12">
        <f t="shared" si="15"/>
        <v>271140</v>
      </c>
      <c r="AM31" s="12">
        <f t="shared" si="15"/>
        <v>276140</v>
      </c>
      <c r="AN31" s="12">
        <f t="shared" si="15"/>
        <v>281140</v>
      </c>
      <c r="AO31" s="12">
        <f t="shared" si="15"/>
        <v>284423</v>
      </c>
      <c r="AP31" s="12">
        <f t="shared" si="15"/>
        <v>316140</v>
      </c>
      <c r="AQ31" s="12">
        <f t="shared" si="15"/>
        <v>16142.525</v>
      </c>
      <c r="AR31" s="12">
        <f t="shared" si="15"/>
        <v>16142.55</v>
      </c>
      <c r="AS31" s="12">
        <f t="shared" si="15"/>
        <v>16142.575000000001</v>
      </c>
      <c r="AT31" s="12">
        <f t="shared" si="15"/>
        <v>416140</v>
      </c>
      <c r="AU31" s="12">
        <f t="shared" si="15"/>
        <v>426140</v>
      </c>
      <c r="AV31" s="13">
        <f>SUM(D31:AU31)</f>
        <v>9382466.9950930532</v>
      </c>
    </row>
    <row r="32" spans="2:48" x14ac:dyDescent="0.3"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2:48" x14ac:dyDescent="0.3">
      <c r="B33" s="1" t="s">
        <v>27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2:48" x14ac:dyDescent="0.3">
      <c r="B34" s="2" t="s">
        <v>18</v>
      </c>
      <c r="D34" s="3">
        <f t="shared" ref="D34:AU34" si="16">+(D31-D25-D25-D29)*D15</f>
        <v>44330</v>
      </c>
      <c r="E34" s="3">
        <f t="shared" si="16"/>
        <v>45175</v>
      </c>
      <c r="F34" s="3">
        <f t="shared" si="16"/>
        <v>46571.849999999991</v>
      </c>
      <c r="G34" s="3">
        <f t="shared" si="16"/>
        <v>48009.380249999995</v>
      </c>
      <c r="H34" s="3">
        <f t="shared" si="16"/>
        <v>46112.218116249991</v>
      </c>
      <c r="I34" s="3">
        <f t="shared" si="16"/>
        <v>47505.302813556234</v>
      </c>
      <c r="J34" s="3">
        <f t="shared" si="16"/>
        <v>52580.07220307114</v>
      </c>
      <c r="K34" s="3">
        <f t="shared" si="16"/>
        <v>54194.594658090951</v>
      </c>
      <c r="L34" s="3">
        <f t="shared" si="16"/>
        <v>55857.191000483988</v>
      </c>
      <c r="M34" s="3">
        <f t="shared" si="16"/>
        <v>57439.501510474482</v>
      </c>
      <c r="N34" s="3">
        <f t="shared" si="16"/>
        <v>59073.225012613875</v>
      </c>
      <c r="O34" s="3">
        <f t="shared" si="16"/>
        <v>61020.121040881837</v>
      </c>
      <c r="P34" s="3">
        <f t="shared" si="16"/>
        <v>62762.012085974617</v>
      </c>
      <c r="Q34" s="3">
        <f t="shared" si="16"/>
        <v>64214.062388123974</v>
      </c>
      <c r="R34" s="3">
        <f t="shared" si="16"/>
        <v>65702.413947827066</v>
      </c>
      <c r="S34" s="3">
        <f t="shared" si="16"/>
        <v>67357.974296522749</v>
      </c>
      <c r="T34" s="3">
        <f t="shared" si="16"/>
        <v>68921.673653935795</v>
      </c>
      <c r="U34" s="3">
        <f t="shared" si="16"/>
        <v>70654.465495284181</v>
      </c>
      <c r="V34" s="3">
        <f t="shared" si="16"/>
        <v>77138.527132666277</v>
      </c>
      <c r="W34" s="3">
        <f t="shared" si="16"/>
        <v>52337.555484104661</v>
      </c>
      <c r="X34" s="3">
        <f t="shared" si="16"/>
        <v>53511.964371207265</v>
      </c>
      <c r="Y34" s="3">
        <f t="shared" si="16"/>
        <v>54715.733480487441</v>
      </c>
      <c r="Z34" s="3">
        <f t="shared" si="16"/>
        <v>55949.596817499638</v>
      </c>
      <c r="AA34" s="3">
        <f t="shared" si="16"/>
        <v>57214.30673793712</v>
      </c>
      <c r="AB34" s="3">
        <f t="shared" si="16"/>
        <v>42948.174255018355</v>
      </c>
      <c r="AC34" s="3">
        <f t="shared" si="16"/>
        <v>43725.34861139382</v>
      </c>
      <c r="AD34" s="3">
        <f t="shared" si="16"/>
        <v>44521.952326678664</v>
      </c>
      <c r="AE34" s="3">
        <f t="shared" si="16"/>
        <v>38838.471134845619</v>
      </c>
      <c r="AF34" s="3">
        <f t="shared" si="16"/>
        <v>39675.402913216763</v>
      </c>
      <c r="AG34" s="3">
        <f t="shared" si="16"/>
        <v>40533.257986047174</v>
      </c>
      <c r="AH34" s="3">
        <f t="shared" si="16"/>
        <v>34741.200000000004</v>
      </c>
      <c r="AI34" s="3">
        <f t="shared" si="16"/>
        <v>36041.200000000004</v>
      </c>
      <c r="AJ34" s="3">
        <f t="shared" si="16"/>
        <v>31844.799999999999</v>
      </c>
      <c r="AK34" s="3">
        <f t="shared" si="16"/>
        <v>46144.800000000003</v>
      </c>
      <c r="AL34" s="3">
        <f t="shared" si="16"/>
        <v>49103.6</v>
      </c>
      <c r="AM34" s="3">
        <f t="shared" si="16"/>
        <v>50403.6</v>
      </c>
      <c r="AN34" s="3">
        <f t="shared" si="16"/>
        <v>51703.6</v>
      </c>
      <c r="AO34" s="3">
        <f t="shared" si="16"/>
        <v>52557.18</v>
      </c>
      <c r="AP34" s="3">
        <f t="shared" si="16"/>
        <v>60803.6</v>
      </c>
      <c r="AQ34" s="3">
        <f t="shared" si="16"/>
        <v>-4195.7435000000005</v>
      </c>
      <c r="AR34" s="3">
        <f t="shared" si="16"/>
        <v>-4195.7370000000001</v>
      </c>
      <c r="AS34" s="3">
        <f t="shared" si="16"/>
        <v>-4195.7304999999997</v>
      </c>
      <c r="AT34" s="3">
        <f t="shared" si="16"/>
        <v>99803.6</v>
      </c>
      <c r="AU34" s="3">
        <f t="shared" si="16"/>
        <v>102403.6</v>
      </c>
      <c r="AV34" s="13">
        <f>SUM(D34:AU34)</f>
        <v>2221554.9187241937</v>
      </c>
    </row>
    <row r="35" spans="2:48" x14ac:dyDescent="0.3">
      <c r="B35" s="2" t="s">
        <v>3</v>
      </c>
      <c r="D35" s="3">
        <v>5500</v>
      </c>
      <c r="E35" s="3">
        <f t="shared" ref="E35:AU35" si="17">+D34*(1+E5)</f>
        <v>45438.249999999993</v>
      </c>
      <c r="F35" s="3">
        <f t="shared" si="17"/>
        <v>46304.374999999993</v>
      </c>
      <c r="G35" s="3">
        <f t="shared" si="17"/>
        <v>47736.146249999983</v>
      </c>
      <c r="H35" s="3">
        <f t="shared" si="17"/>
        <v>49209.61475624999</v>
      </c>
      <c r="I35" s="3">
        <f t="shared" si="17"/>
        <v>47265.023569156234</v>
      </c>
      <c r="J35" s="3">
        <f t="shared" si="17"/>
        <v>48692.935383895136</v>
      </c>
      <c r="K35" s="3">
        <f t="shared" si="17"/>
        <v>53894.574008147916</v>
      </c>
      <c r="L35" s="3">
        <f t="shared" si="17"/>
        <v>55549.459524543221</v>
      </c>
      <c r="M35" s="3">
        <f t="shared" si="17"/>
        <v>57253.620775496085</v>
      </c>
      <c r="N35" s="3">
        <f t="shared" si="17"/>
        <v>58875.489048236341</v>
      </c>
      <c r="O35" s="3">
        <f t="shared" si="17"/>
        <v>60550.055637929217</v>
      </c>
      <c r="P35" s="3">
        <f t="shared" si="17"/>
        <v>62545.624066903874</v>
      </c>
      <c r="Q35" s="3">
        <f t="shared" si="17"/>
        <v>64331.062388123974</v>
      </c>
      <c r="R35" s="3">
        <f t="shared" si="17"/>
        <v>65819.413947827066</v>
      </c>
      <c r="S35" s="3">
        <f t="shared" si="17"/>
        <v>67344.974296522734</v>
      </c>
      <c r="T35" s="3">
        <f t="shared" si="17"/>
        <v>69041.92365393581</v>
      </c>
      <c r="U35" s="3">
        <f t="shared" si="17"/>
        <v>70644.715495284181</v>
      </c>
      <c r="V35" s="3">
        <f t="shared" si="17"/>
        <v>72420.82713266628</v>
      </c>
      <c r="W35" s="3">
        <f t="shared" si="17"/>
        <v>79066.990310982932</v>
      </c>
      <c r="X35" s="3">
        <f t="shared" si="17"/>
        <v>53645.994371207271</v>
      </c>
      <c r="Y35" s="3">
        <f t="shared" si="17"/>
        <v>54849.76348048744</v>
      </c>
      <c r="Z35" s="3">
        <f t="shared" si="17"/>
        <v>56083.626817499622</v>
      </c>
      <c r="AA35" s="3">
        <f t="shared" si="17"/>
        <v>57348.336737937127</v>
      </c>
      <c r="AB35" s="3">
        <f t="shared" si="17"/>
        <v>58644.664406385542</v>
      </c>
      <c r="AC35" s="3">
        <f t="shared" si="17"/>
        <v>44021.878611393811</v>
      </c>
      <c r="AD35" s="3">
        <f t="shared" si="17"/>
        <v>44818.482326678663</v>
      </c>
      <c r="AE35" s="3">
        <f t="shared" si="17"/>
        <v>45635.001134845625</v>
      </c>
      <c r="AF35" s="3">
        <f t="shared" si="17"/>
        <v>39809.432913216755</v>
      </c>
      <c r="AG35" s="3">
        <f t="shared" si="17"/>
        <v>40667.28798604718</v>
      </c>
      <c r="AH35" s="3">
        <f t="shared" si="17"/>
        <v>41546.589435698348</v>
      </c>
      <c r="AI35" s="3">
        <f t="shared" si="17"/>
        <v>35609.730000000003</v>
      </c>
      <c r="AJ35" s="3">
        <f t="shared" si="17"/>
        <v>36942.230000000003</v>
      </c>
      <c r="AK35" s="3">
        <f t="shared" si="17"/>
        <v>32640.919999999995</v>
      </c>
      <c r="AL35" s="3">
        <f t="shared" si="17"/>
        <v>47298.42</v>
      </c>
      <c r="AM35" s="3">
        <f t="shared" si="17"/>
        <v>50331.189999999995</v>
      </c>
      <c r="AN35" s="3">
        <f t="shared" si="17"/>
        <v>51663.689999999995</v>
      </c>
      <c r="AO35" s="3">
        <f t="shared" si="17"/>
        <v>52996.189999999995</v>
      </c>
      <c r="AP35" s="3">
        <f t="shared" si="17"/>
        <v>53871.109499999999</v>
      </c>
      <c r="AQ35" s="3">
        <f t="shared" si="17"/>
        <v>62323.689999999995</v>
      </c>
      <c r="AR35" s="3">
        <f t="shared" si="17"/>
        <v>-4300.6370875000002</v>
      </c>
      <c r="AS35" s="3">
        <f t="shared" si="17"/>
        <v>-4300.6304249999994</v>
      </c>
      <c r="AT35" s="3">
        <f t="shared" si="17"/>
        <v>-4300.6237624999994</v>
      </c>
      <c r="AU35" s="3">
        <f t="shared" si="17"/>
        <v>102298.69</v>
      </c>
      <c r="AV35" s="13">
        <f>SUM(D34:AU34)</f>
        <v>2221554.9187241937</v>
      </c>
    </row>
    <row r="36" spans="2:48" x14ac:dyDescent="0.3">
      <c r="B36" s="2" t="s">
        <v>68</v>
      </c>
      <c r="D36" s="3">
        <f t="shared" ref="D36:AU36" si="18">(+D21+D22)*D6</f>
        <v>8400</v>
      </c>
      <c r="E36" s="3">
        <f t="shared" si="18"/>
        <v>8962.5</v>
      </c>
      <c r="F36" s="3">
        <f t="shared" si="18"/>
        <v>9309</v>
      </c>
      <c r="G36" s="3">
        <f t="shared" si="18"/>
        <v>9669.36</v>
      </c>
      <c r="H36" s="3">
        <f t="shared" si="18"/>
        <v>10044.134400000001</v>
      </c>
      <c r="I36" s="3">
        <f t="shared" si="18"/>
        <v>10433.899776</v>
      </c>
      <c r="J36" s="3">
        <f t="shared" si="18"/>
        <v>10839.25576704</v>
      </c>
      <c r="K36" s="3">
        <f t="shared" si="18"/>
        <v>11260.8259977216</v>
      </c>
      <c r="L36" s="3">
        <f t="shared" si="18"/>
        <v>11699.259037630463</v>
      </c>
      <c r="M36" s="3">
        <f t="shared" si="18"/>
        <v>12155.229399135684</v>
      </c>
      <c r="N36" s="3">
        <f t="shared" si="18"/>
        <v>12629.438575101112</v>
      </c>
      <c r="O36" s="3">
        <f t="shared" si="18"/>
        <v>13122.616118105158</v>
      </c>
      <c r="P36" s="3">
        <f t="shared" si="18"/>
        <v>13635.520762829365</v>
      </c>
      <c r="Q36" s="3">
        <f t="shared" si="18"/>
        <v>13968.908781900098</v>
      </c>
      <c r="R36" s="3">
        <f t="shared" si="18"/>
        <v>14310.631501447599</v>
      </c>
      <c r="S36" s="3">
        <f t="shared" si="18"/>
        <v>14660.897288983788</v>
      </c>
      <c r="T36" s="3">
        <f t="shared" si="18"/>
        <v>15019.919721208382</v>
      </c>
      <c r="U36" s="3">
        <f t="shared" si="18"/>
        <v>15387.917714238589</v>
      </c>
      <c r="V36" s="3">
        <f t="shared" si="18"/>
        <v>15765.115657094553</v>
      </c>
      <c r="W36" s="3">
        <f t="shared" si="18"/>
        <v>16151.743548521914</v>
      </c>
      <c r="X36" s="12">
        <f t="shared" si="18"/>
        <v>16548.037137234962</v>
      </c>
      <c r="Y36" s="12">
        <f t="shared" si="18"/>
        <v>16954.238065665835</v>
      </c>
      <c r="Z36" s="12">
        <f t="shared" si="18"/>
        <v>17370.594017307478</v>
      </c>
      <c r="AA36" s="12">
        <f t="shared" si="18"/>
        <v>17797.358867740164</v>
      </c>
      <c r="AB36" s="12">
        <f t="shared" si="18"/>
        <v>18234.792839433667</v>
      </c>
      <c r="AC36" s="12">
        <f t="shared" si="18"/>
        <v>18683.162660419508</v>
      </c>
      <c r="AD36" s="12">
        <f t="shared" si="18"/>
        <v>19142.741726929995</v>
      </c>
      <c r="AE36" s="12">
        <f t="shared" si="18"/>
        <v>19613.810270103244</v>
      </c>
      <c r="AF36" s="12">
        <f t="shared" si="18"/>
        <v>20096.655526855822</v>
      </c>
      <c r="AG36" s="12">
        <f t="shared" si="18"/>
        <v>20591.571915027216</v>
      </c>
      <c r="AH36" s="12">
        <f t="shared" si="18"/>
        <v>0</v>
      </c>
      <c r="AI36" s="12">
        <f t="shared" si="18"/>
        <v>0</v>
      </c>
      <c r="AJ36" s="12">
        <f t="shared" si="18"/>
        <v>0</v>
      </c>
      <c r="AK36" s="12">
        <f t="shared" si="18"/>
        <v>0</v>
      </c>
      <c r="AL36" s="12">
        <f t="shared" si="18"/>
        <v>0</v>
      </c>
      <c r="AM36" s="12">
        <f t="shared" si="18"/>
        <v>0</v>
      </c>
      <c r="AN36" s="12">
        <f t="shared" si="18"/>
        <v>0</v>
      </c>
      <c r="AO36" s="12">
        <f t="shared" si="18"/>
        <v>0</v>
      </c>
      <c r="AP36" s="12">
        <f t="shared" si="18"/>
        <v>0</v>
      </c>
      <c r="AQ36" s="12">
        <f t="shared" si="18"/>
        <v>0</v>
      </c>
      <c r="AR36" s="12">
        <f t="shared" si="18"/>
        <v>0</v>
      </c>
      <c r="AS36" s="12">
        <f t="shared" si="18"/>
        <v>0</v>
      </c>
      <c r="AT36" s="12">
        <f t="shared" si="18"/>
        <v>0</v>
      </c>
      <c r="AU36" s="12">
        <f t="shared" si="18"/>
        <v>0</v>
      </c>
      <c r="AV36" s="13">
        <f t="shared" ref="AV36:AV44" si="19">SUM(D36:AU36)</f>
        <v>432459.13707367622</v>
      </c>
    </row>
    <row r="37" spans="2:48" x14ac:dyDescent="0.3">
      <c r="B37" s="2" t="s">
        <v>60</v>
      </c>
      <c r="D37" s="3">
        <f t="shared" ref="D37:AU37" si="20">(+D23+D24)*D6</f>
        <v>17175</v>
      </c>
      <c r="E37" s="3">
        <f t="shared" si="20"/>
        <v>17099.999999999996</v>
      </c>
      <c r="F37" s="3">
        <f t="shared" si="20"/>
        <v>17559.374999999996</v>
      </c>
      <c r="G37" s="3">
        <f t="shared" si="20"/>
        <v>18028.359374999993</v>
      </c>
      <c r="H37" s="3">
        <f t="shared" si="20"/>
        <v>16559.068359374989</v>
      </c>
      <c r="I37" s="3">
        <f t="shared" si="20"/>
        <v>16973.005693359362</v>
      </c>
      <c r="J37" s="3">
        <f t="shared" si="20"/>
        <v>19495.401273193347</v>
      </c>
      <c r="K37" s="3">
        <f t="shared" si="20"/>
        <v>20005.286305023179</v>
      </c>
      <c r="L37" s="3">
        <f t="shared" si="20"/>
        <v>20526.043462648759</v>
      </c>
      <c r="M37" s="3">
        <f t="shared" si="20"/>
        <v>20982.944549214975</v>
      </c>
      <c r="N37" s="3">
        <f t="shared" si="20"/>
        <v>21451.268162945347</v>
      </c>
      <c r="O37" s="3">
        <f t="shared" si="20"/>
        <v>22081.299867018977</v>
      </c>
      <c r="P37" s="3">
        <f t="shared" si="20"/>
        <v>22573.332363694451</v>
      </c>
      <c r="Q37" s="3">
        <f t="shared" si="20"/>
        <v>23077.665672786807</v>
      </c>
      <c r="R37" s="3">
        <f t="shared" si="20"/>
        <v>23594.607314606477</v>
      </c>
      <c r="S37" s="3">
        <f t="shared" si="20"/>
        <v>24199.472497471634</v>
      </c>
      <c r="T37" s="3">
        <f t="shared" si="20"/>
        <v>24742.584309908423</v>
      </c>
      <c r="U37" s="3">
        <f t="shared" si="20"/>
        <v>25374.27391765613</v>
      </c>
      <c r="V37" s="3">
        <f t="shared" si="20"/>
        <v>25944.880765597529</v>
      </c>
      <c r="W37" s="3">
        <f t="shared" si="20"/>
        <v>11250</v>
      </c>
      <c r="X37" s="12">
        <f t="shared" si="20"/>
        <v>11531.25</v>
      </c>
      <c r="Y37" s="12">
        <f t="shared" si="20"/>
        <v>11819.53125</v>
      </c>
      <c r="Z37" s="12">
        <f t="shared" si="20"/>
        <v>12115.01953125</v>
      </c>
      <c r="AA37" s="12">
        <f t="shared" si="20"/>
        <v>12417.89501953125</v>
      </c>
      <c r="AB37" s="12">
        <f t="shared" si="20"/>
        <v>3750</v>
      </c>
      <c r="AC37" s="12">
        <f t="shared" si="20"/>
        <v>3750</v>
      </c>
      <c r="AD37" s="12">
        <f t="shared" si="20"/>
        <v>3750</v>
      </c>
      <c r="AE37" s="12">
        <f t="shared" si="20"/>
        <v>0</v>
      </c>
      <c r="AF37" s="12">
        <f t="shared" si="20"/>
        <v>0</v>
      </c>
      <c r="AG37" s="12">
        <f t="shared" si="20"/>
        <v>0</v>
      </c>
      <c r="AH37" s="12">
        <f t="shared" si="20"/>
        <v>0</v>
      </c>
      <c r="AI37" s="12">
        <f t="shared" si="20"/>
        <v>0</v>
      </c>
      <c r="AJ37" s="12">
        <f t="shared" si="20"/>
        <v>0</v>
      </c>
      <c r="AK37" s="12">
        <f t="shared" si="20"/>
        <v>0</v>
      </c>
      <c r="AL37" s="12">
        <f t="shared" si="20"/>
        <v>0</v>
      </c>
      <c r="AM37" s="12">
        <f t="shared" si="20"/>
        <v>0</v>
      </c>
      <c r="AN37" s="12">
        <f t="shared" si="20"/>
        <v>0</v>
      </c>
      <c r="AO37" s="12">
        <f t="shared" si="20"/>
        <v>0</v>
      </c>
      <c r="AP37" s="12">
        <f t="shared" si="20"/>
        <v>0</v>
      </c>
      <c r="AQ37" s="12">
        <f t="shared" si="20"/>
        <v>0</v>
      </c>
      <c r="AR37" s="12">
        <f t="shared" si="20"/>
        <v>0</v>
      </c>
      <c r="AS37" s="12">
        <f t="shared" si="20"/>
        <v>0</v>
      </c>
      <c r="AT37" s="12">
        <f t="shared" si="20"/>
        <v>0</v>
      </c>
      <c r="AU37" s="12">
        <f t="shared" si="20"/>
        <v>0</v>
      </c>
      <c r="AV37" s="13">
        <f t="shared" si="19"/>
        <v>467827.56469028158</v>
      </c>
    </row>
    <row r="38" spans="2:48" x14ac:dyDescent="0.3">
      <c r="B38" s="2" t="s">
        <v>4</v>
      </c>
      <c r="D38" s="3">
        <v>3000</v>
      </c>
      <c r="E38" s="3">
        <v>4000</v>
      </c>
      <c r="F38" s="3">
        <v>4000</v>
      </c>
      <c r="G38" s="3">
        <v>4000</v>
      </c>
      <c r="H38" s="3">
        <v>4000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/>
      <c r="T38" s="3"/>
      <c r="U38" s="3"/>
      <c r="V38" s="3"/>
      <c r="W38" s="3"/>
      <c r="X38" s="12"/>
      <c r="Y38" s="12"/>
      <c r="Z38" s="12"/>
      <c r="AA38" s="12"/>
      <c r="AB38" s="12">
        <v>2000</v>
      </c>
      <c r="AC38" s="12">
        <v>2000</v>
      </c>
      <c r="AD38" s="12">
        <v>2000</v>
      </c>
      <c r="AE38" s="12">
        <v>2000</v>
      </c>
      <c r="AF38" s="12">
        <v>2000</v>
      </c>
      <c r="AG38" s="12">
        <v>2000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3">
        <f t="shared" si="19"/>
        <v>31000</v>
      </c>
    </row>
    <row r="39" spans="2:48" x14ac:dyDescent="0.3">
      <c r="B39" s="2" t="s">
        <v>17</v>
      </c>
      <c r="E39" s="3"/>
      <c r="F39" s="3"/>
      <c r="G39" s="3"/>
      <c r="H39" s="3"/>
      <c r="I39" s="3"/>
      <c r="J39" s="3">
        <v>4000</v>
      </c>
      <c r="K39" s="3">
        <v>4000</v>
      </c>
      <c r="L39" s="3">
        <v>4000</v>
      </c>
      <c r="M39" s="3">
        <v>4000</v>
      </c>
      <c r="N39" s="3">
        <v>4000</v>
      </c>
      <c r="O39" s="3">
        <v>4000</v>
      </c>
      <c r="P39" s="3">
        <v>4000</v>
      </c>
      <c r="Q39" s="3">
        <v>4000</v>
      </c>
      <c r="R39" s="3">
        <v>4000</v>
      </c>
      <c r="S39" s="3">
        <v>4000</v>
      </c>
      <c r="T39" s="3">
        <v>4000</v>
      </c>
      <c r="U39" s="3">
        <v>4000</v>
      </c>
      <c r="V39" s="3">
        <v>4000</v>
      </c>
      <c r="W39" s="3">
        <v>4000</v>
      </c>
      <c r="X39" s="12">
        <v>4000</v>
      </c>
      <c r="Y39" s="12">
        <v>4000</v>
      </c>
      <c r="Z39" s="12">
        <v>4000</v>
      </c>
      <c r="AA39" s="12">
        <v>2000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3">
        <f t="shared" si="19"/>
        <v>70000</v>
      </c>
    </row>
    <row r="40" spans="2:48" x14ac:dyDescent="0.3">
      <c r="B40" s="2" t="s">
        <v>69</v>
      </c>
      <c r="D40" s="3">
        <v>10000</v>
      </c>
      <c r="E40" s="13">
        <v>5000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f t="shared" si="19"/>
        <v>15000</v>
      </c>
    </row>
    <row r="41" spans="2:48" x14ac:dyDescent="0.3">
      <c r="B41" s="2" t="s">
        <v>37</v>
      </c>
      <c r="C41" s="3"/>
      <c r="D41" s="3">
        <f>-Mortgage!$F$1</f>
        <v>10953.00176513716</v>
      </c>
      <c r="E41" s="3">
        <f>-Mortgage!$F$1</f>
        <v>10953.00176513716</v>
      </c>
      <c r="F41" s="3">
        <f>-Mortgage!$F$1</f>
        <v>10953.00176513716</v>
      </c>
      <c r="G41" s="3">
        <f>-Mortgage!$F$1</f>
        <v>10953.00176513716</v>
      </c>
      <c r="H41" s="3">
        <f>-Mortgage!$F$1</f>
        <v>10953.00176513716</v>
      </c>
      <c r="I41" s="3">
        <f>-Mortgage!$F$1</f>
        <v>10953.00176513716</v>
      </c>
      <c r="J41" s="3">
        <f>-Mortgage!$F$1</f>
        <v>10953.00176513716</v>
      </c>
      <c r="K41" s="3">
        <f>-Mortgage!$F$1</f>
        <v>10953.00176513716</v>
      </c>
      <c r="L41" s="3">
        <f>-Mortgage!$F$1</f>
        <v>10953.00176513716</v>
      </c>
      <c r="M41" s="3">
        <f>-Mortgage!$F$1</f>
        <v>10953.00176513716</v>
      </c>
      <c r="N41" s="3">
        <f>-Mortgage!$F$1</f>
        <v>10953.00176513716</v>
      </c>
      <c r="O41" s="3">
        <f>-Mortgage!$F$1</f>
        <v>10953.00176513716</v>
      </c>
      <c r="P41" s="3">
        <f>-Mortgage!$F$1</f>
        <v>10953.00176513716</v>
      </c>
      <c r="Q41" s="3">
        <f>-Mortgage!$F$1</f>
        <v>10953.00176513716</v>
      </c>
      <c r="R41" s="3">
        <f>-Mortgage!$F$1</f>
        <v>10953.00176513716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>
        <f t="shared" si="19"/>
        <v>164295.0264770574</v>
      </c>
    </row>
    <row r="42" spans="2:48" x14ac:dyDescent="0.3">
      <c r="B42" s="2" t="s">
        <v>5</v>
      </c>
      <c r="D42" s="3">
        <v>1000</v>
      </c>
      <c r="E42" s="3">
        <f>+D42*(1+E$5)</f>
        <v>1025</v>
      </c>
      <c r="F42" s="3">
        <f t="shared" ref="F42:AU42" si="21">+E42*(1+F$5)</f>
        <v>1050.625</v>
      </c>
      <c r="G42" s="3">
        <f t="shared" si="21"/>
        <v>1076.890625</v>
      </c>
      <c r="H42" s="3">
        <f t="shared" si="21"/>
        <v>1103.8128906249999</v>
      </c>
      <c r="I42" s="3">
        <f t="shared" si="21"/>
        <v>1131.4082128906248</v>
      </c>
      <c r="J42" s="3">
        <f t="shared" si="21"/>
        <v>1159.6934182128903</v>
      </c>
      <c r="K42" s="3">
        <f t="shared" si="21"/>
        <v>1188.6857536682123</v>
      </c>
      <c r="L42" s="3">
        <f t="shared" si="21"/>
        <v>1218.4028975099175</v>
      </c>
      <c r="M42" s="3">
        <f t="shared" si="21"/>
        <v>1248.8629699476653</v>
      </c>
      <c r="N42" s="3">
        <f t="shared" si="21"/>
        <v>1280.0845441963568</v>
      </c>
      <c r="O42" s="3">
        <f t="shared" si="21"/>
        <v>1312.0866578012656</v>
      </c>
      <c r="P42" s="3">
        <f t="shared" si="21"/>
        <v>1344.8888242462972</v>
      </c>
      <c r="Q42" s="3">
        <f t="shared" si="21"/>
        <v>1378.5110448524545</v>
      </c>
      <c r="R42" s="3">
        <f t="shared" si="21"/>
        <v>1412.9738209737657</v>
      </c>
      <c r="S42" s="3">
        <f t="shared" si="21"/>
        <v>1448.2981664981096</v>
      </c>
      <c r="T42" s="3">
        <f t="shared" si="21"/>
        <v>1484.5056206605623</v>
      </c>
      <c r="U42" s="3">
        <f t="shared" si="21"/>
        <v>1521.6182611770762</v>
      </c>
      <c r="V42" s="3">
        <f t="shared" si="21"/>
        <v>1559.658717706503</v>
      </c>
      <c r="W42" s="3">
        <f t="shared" si="21"/>
        <v>1598.6501856491655</v>
      </c>
      <c r="X42" s="12">
        <f t="shared" si="21"/>
        <v>1638.6164402903944</v>
      </c>
      <c r="Y42" s="12">
        <f t="shared" si="21"/>
        <v>1679.5818512976541</v>
      </c>
      <c r="Z42" s="12">
        <f t="shared" si="21"/>
        <v>1721.5713975800952</v>
      </c>
      <c r="AA42" s="12">
        <f t="shared" si="21"/>
        <v>1764.6106825195975</v>
      </c>
      <c r="AB42" s="12">
        <f t="shared" si="21"/>
        <v>1808.7259495825872</v>
      </c>
      <c r="AC42" s="12">
        <f t="shared" si="21"/>
        <v>1853.9440983221516</v>
      </c>
      <c r="AD42" s="12">
        <f t="shared" si="21"/>
        <v>1900.2927007802052</v>
      </c>
      <c r="AE42" s="12">
        <f t="shared" si="21"/>
        <v>1947.8000182997102</v>
      </c>
      <c r="AF42" s="12">
        <f t="shared" si="21"/>
        <v>1996.4950187572028</v>
      </c>
      <c r="AG42" s="12">
        <f t="shared" si="21"/>
        <v>2046.4073942261327</v>
      </c>
      <c r="AH42" s="12">
        <f t="shared" si="21"/>
        <v>2097.5675790817859</v>
      </c>
      <c r="AI42" s="12">
        <f t="shared" si="21"/>
        <v>2150.0067685588301</v>
      </c>
      <c r="AJ42" s="12">
        <f t="shared" si="21"/>
        <v>2203.7569377728005</v>
      </c>
      <c r="AK42" s="12">
        <f>+AJ42*(1+AK$5)</f>
        <v>2258.8508612171204</v>
      </c>
      <c r="AL42" s="12">
        <f t="shared" si="21"/>
        <v>2315.322132747548</v>
      </c>
      <c r="AM42" s="12">
        <f t="shared" si="21"/>
        <v>2373.2051860662364</v>
      </c>
      <c r="AN42" s="12">
        <f t="shared" si="21"/>
        <v>2432.535315717892</v>
      </c>
      <c r="AO42" s="12">
        <f t="shared" si="21"/>
        <v>2493.3486986108392</v>
      </c>
      <c r="AP42" s="12">
        <f t="shared" si="21"/>
        <v>2555.6824160761098</v>
      </c>
      <c r="AQ42" s="12">
        <f t="shared" si="21"/>
        <v>2619.5744764780125</v>
      </c>
      <c r="AR42" s="12">
        <f t="shared" si="21"/>
        <v>2685.0638383899627</v>
      </c>
      <c r="AS42" s="12">
        <f t="shared" si="21"/>
        <v>2752.1904343497117</v>
      </c>
      <c r="AT42" s="12">
        <f t="shared" si="21"/>
        <v>2820.9951952084543</v>
      </c>
      <c r="AU42" s="12">
        <f t="shared" si="21"/>
        <v>2891.5200750886656</v>
      </c>
      <c r="AV42" s="13">
        <f t="shared" si="19"/>
        <v>78552.323078635585</v>
      </c>
    </row>
    <row r="43" spans="2:48" x14ac:dyDescent="0.3">
      <c r="B43" s="2" t="s">
        <v>52</v>
      </c>
      <c r="D43" s="3">
        <v>1200</v>
      </c>
      <c r="E43" s="3">
        <f>+D43*(1+E$5)</f>
        <v>1230</v>
      </c>
      <c r="F43" s="3">
        <f t="shared" ref="F43:T43" si="22">+E43*(1+F$5)</f>
        <v>1260.75</v>
      </c>
      <c r="G43" s="3">
        <f t="shared" si="22"/>
        <v>1292.26875</v>
      </c>
      <c r="H43" s="3">
        <f t="shared" si="22"/>
        <v>1324.5754687499998</v>
      </c>
      <c r="I43" s="3">
        <f t="shared" si="22"/>
        <v>1357.6898554687498</v>
      </c>
      <c r="J43" s="3">
        <f t="shared" si="22"/>
        <v>1391.6321018554684</v>
      </c>
      <c r="K43" s="3">
        <f t="shared" si="22"/>
        <v>1426.422904401855</v>
      </c>
      <c r="L43" s="3">
        <f t="shared" si="22"/>
        <v>1462.0834770119013</v>
      </c>
      <c r="M43" s="3">
        <f t="shared" si="22"/>
        <v>1498.6355639371986</v>
      </c>
      <c r="N43" s="3">
        <f t="shared" si="22"/>
        <v>1536.1014530356285</v>
      </c>
      <c r="O43" s="3">
        <f t="shared" si="22"/>
        <v>1574.5039893615192</v>
      </c>
      <c r="P43" s="3">
        <f t="shared" si="22"/>
        <v>1613.8665890955569</v>
      </c>
      <c r="Q43" s="3">
        <f t="shared" si="22"/>
        <v>1654.2132538229457</v>
      </c>
      <c r="R43" s="3">
        <f t="shared" si="22"/>
        <v>1695.5685851685191</v>
      </c>
      <c r="S43" s="3">
        <f t="shared" si="22"/>
        <v>1737.9577997977319</v>
      </c>
      <c r="T43" s="3">
        <f t="shared" si="22"/>
        <v>1781.406744792675</v>
      </c>
      <c r="U43" s="3">
        <f t="shared" ref="U43:AU43" si="23">+T43*(1+U$5)</f>
        <v>1825.9419134124917</v>
      </c>
      <c r="V43" s="3">
        <f t="shared" si="23"/>
        <v>1871.5904612478039</v>
      </c>
      <c r="W43" s="3">
        <f t="shared" si="23"/>
        <v>1918.3802227789988</v>
      </c>
      <c r="X43" s="12">
        <f t="shared" si="23"/>
        <v>1966.3397283484737</v>
      </c>
      <c r="Y43" s="12">
        <f t="shared" si="23"/>
        <v>2015.4982215571854</v>
      </c>
      <c r="Z43" s="12">
        <f t="shared" si="23"/>
        <v>2065.8856770961147</v>
      </c>
      <c r="AA43" s="12">
        <f t="shared" si="23"/>
        <v>2117.5328190235173</v>
      </c>
      <c r="AB43" s="12">
        <f t="shared" si="23"/>
        <v>2170.471139499105</v>
      </c>
      <c r="AC43" s="12">
        <f t="shared" si="23"/>
        <v>2224.7329179865824</v>
      </c>
      <c r="AD43" s="12">
        <f t="shared" si="23"/>
        <v>2280.3512409362465</v>
      </c>
      <c r="AE43" s="12">
        <f t="shared" si="23"/>
        <v>2337.3600219596524</v>
      </c>
      <c r="AF43" s="12">
        <f t="shared" si="23"/>
        <v>2395.7940225086436</v>
      </c>
      <c r="AG43" s="12">
        <f t="shared" si="23"/>
        <v>2455.6888730713595</v>
      </c>
      <c r="AH43" s="12">
        <f t="shared" si="23"/>
        <v>2517.0810948981434</v>
      </c>
      <c r="AI43" s="12">
        <f t="shared" si="23"/>
        <v>2580.0081222705967</v>
      </c>
      <c r="AJ43" s="12">
        <f t="shared" si="23"/>
        <v>2644.5083253273615</v>
      </c>
      <c r="AK43" s="12">
        <f>+AJ43*(1+AK$5)</f>
        <v>2710.6210334605453</v>
      </c>
      <c r="AL43" s="12">
        <f t="shared" si="23"/>
        <v>2778.3865592970587</v>
      </c>
      <c r="AM43" s="12">
        <f t="shared" si="23"/>
        <v>2847.846223279485</v>
      </c>
      <c r="AN43" s="12">
        <f t="shared" si="23"/>
        <v>2919.0423788614717</v>
      </c>
      <c r="AO43" s="12">
        <f t="shared" si="23"/>
        <v>2992.0184383330084</v>
      </c>
      <c r="AP43" s="12">
        <f t="shared" si="23"/>
        <v>3066.8188992913333</v>
      </c>
      <c r="AQ43" s="12">
        <f t="shared" si="23"/>
        <v>3143.4893717736163</v>
      </c>
      <c r="AR43" s="12">
        <f t="shared" si="23"/>
        <v>3222.0766060679566</v>
      </c>
      <c r="AS43" s="12">
        <f t="shared" si="23"/>
        <v>3302.6285212196553</v>
      </c>
      <c r="AT43" s="12">
        <f t="shared" si="23"/>
        <v>3385.1942342501466</v>
      </c>
      <c r="AU43" s="12">
        <f t="shared" si="23"/>
        <v>3469.8240901064</v>
      </c>
      <c r="AV43" s="13">
        <f t="shared" si="19"/>
        <v>94262.787694362691</v>
      </c>
    </row>
    <row r="44" spans="2:48" x14ac:dyDescent="0.3">
      <c r="B44" s="2" t="s">
        <v>2</v>
      </c>
      <c r="D44" s="3">
        <v>2000</v>
      </c>
      <c r="E44" s="3">
        <f>+D44*(1+E$5)</f>
        <v>2050</v>
      </c>
      <c r="F44" s="3">
        <f t="shared" ref="F44:T44" si="24">+E44*(1+F$5)</f>
        <v>2101.25</v>
      </c>
      <c r="G44" s="3">
        <f t="shared" si="24"/>
        <v>2153.78125</v>
      </c>
      <c r="H44" s="3">
        <f t="shared" si="24"/>
        <v>2207.6257812499998</v>
      </c>
      <c r="I44" s="3">
        <f t="shared" si="24"/>
        <v>2262.8164257812496</v>
      </c>
      <c r="J44" s="3">
        <f t="shared" si="24"/>
        <v>2319.3868364257805</v>
      </c>
      <c r="K44" s="3">
        <f t="shared" si="24"/>
        <v>2377.3715073364247</v>
      </c>
      <c r="L44" s="3">
        <f t="shared" si="24"/>
        <v>2436.8057950198349</v>
      </c>
      <c r="M44" s="3">
        <f t="shared" si="24"/>
        <v>2497.7259398953306</v>
      </c>
      <c r="N44" s="3">
        <f t="shared" si="24"/>
        <v>2560.1690883927135</v>
      </c>
      <c r="O44" s="3">
        <f t="shared" si="24"/>
        <v>2624.1733156025311</v>
      </c>
      <c r="P44" s="3">
        <f t="shared" si="24"/>
        <v>2689.7776484925944</v>
      </c>
      <c r="Q44" s="3">
        <f t="shared" si="24"/>
        <v>2757.0220897049089</v>
      </c>
      <c r="R44" s="3">
        <f t="shared" si="24"/>
        <v>2825.9476419475313</v>
      </c>
      <c r="S44" s="3">
        <f t="shared" si="24"/>
        <v>2896.5963329962192</v>
      </c>
      <c r="T44" s="3">
        <f t="shared" si="24"/>
        <v>2969.0112413211245</v>
      </c>
      <c r="U44" s="3">
        <f t="shared" ref="U44:AU44" si="25">+T44*(1+U$5)</f>
        <v>3043.2365223541524</v>
      </c>
      <c r="V44" s="3">
        <f t="shared" si="25"/>
        <v>3119.317435413006</v>
      </c>
      <c r="W44" s="3">
        <f t="shared" si="25"/>
        <v>3197.3003712983309</v>
      </c>
      <c r="X44" s="12">
        <f t="shared" si="25"/>
        <v>3277.2328805807888</v>
      </c>
      <c r="Y44" s="12">
        <f t="shared" si="25"/>
        <v>3359.1637025953082</v>
      </c>
      <c r="Z44" s="12">
        <f t="shared" si="25"/>
        <v>3443.1427951601904</v>
      </c>
      <c r="AA44" s="12">
        <f t="shared" si="25"/>
        <v>3529.221365039195</v>
      </c>
      <c r="AB44" s="12">
        <f t="shared" si="25"/>
        <v>3617.4518991651744</v>
      </c>
      <c r="AC44" s="12">
        <f t="shared" si="25"/>
        <v>3707.8881966443032</v>
      </c>
      <c r="AD44" s="12">
        <f t="shared" si="25"/>
        <v>3800.5854015604104</v>
      </c>
      <c r="AE44" s="12">
        <f t="shared" si="25"/>
        <v>3895.6000365994205</v>
      </c>
      <c r="AF44" s="12">
        <f t="shared" si="25"/>
        <v>3992.9900375144057</v>
      </c>
      <c r="AG44" s="12">
        <f t="shared" si="25"/>
        <v>4092.8147884522655</v>
      </c>
      <c r="AH44" s="12">
        <f t="shared" si="25"/>
        <v>4195.1351581635718</v>
      </c>
      <c r="AI44" s="12">
        <f t="shared" si="25"/>
        <v>4300.0135371176602</v>
      </c>
      <c r="AJ44" s="12">
        <f t="shared" si="25"/>
        <v>4407.513875545601</v>
      </c>
      <c r="AK44" s="12">
        <f>+AJ44*(1+AK$5)</f>
        <v>4517.7017224342408</v>
      </c>
      <c r="AL44" s="12">
        <f t="shared" si="25"/>
        <v>4630.6442654950961</v>
      </c>
      <c r="AM44" s="12">
        <f t="shared" si="25"/>
        <v>4746.4103721324727</v>
      </c>
      <c r="AN44" s="12">
        <f t="shared" si="25"/>
        <v>4865.070631435784</v>
      </c>
      <c r="AO44" s="12">
        <f t="shared" si="25"/>
        <v>4986.6973972216783</v>
      </c>
      <c r="AP44" s="12">
        <f t="shared" si="25"/>
        <v>5111.3648321522196</v>
      </c>
      <c r="AQ44" s="12">
        <f t="shared" si="25"/>
        <v>5239.1489529560249</v>
      </c>
      <c r="AR44" s="12">
        <f t="shared" si="25"/>
        <v>5370.1276767799254</v>
      </c>
      <c r="AS44" s="12">
        <f t="shared" si="25"/>
        <v>5504.3808686994234</v>
      </c>
      <c r="AT44" s="12">
        <f t="shared" si="25"/>
        <v>5641.9903904169087</v>
      </c>
      <c r="AU44" s="12">
        <f t="shared" si="25"/>
        <v>5783.0401501773313</v>
      </c>
      <c r="AV44" s="13">
        <f t="shared" si="19"/>
        <v>157104.64615727117</v>
      </c>
    </row>
    <row r="45" spans="2:48" x14ac:dyDescent="0.3">
      <c r="B45" s="2" t="s">
        <v>6</v>
      </c>
      <c r="D45" s="3">
        <v>3000</v>
      </c>
      <c r="E45" s="3">
        <f t="shared" ref="E45:Q45" si="26">+D44*(1+E$5)</f>
        <v>2050</v>
      </c>
      <c r="F45" s="3">
        <f t="shared" si="26"/>
        <v>2101.25</v>
      </c>
      <c r="G45" s="3">
        <f t="shared" si="26"/>
        <v>2153.78125</v>
      </c>
      <c r="H45" s="3">
        <f t="shared" si="26"/>
        <v>2207.6257812499998</v>
      </c>
      <c r="I45" s="3">
        <f t="shared" si="26"/>
        <v>2262.8164257812496</v>
      </c>
      <c r="J45" s="3">
        <f t="shared" si="26"/>
        <v>2319.3868364257805</v>
      </c>
      <c r="K45" s="3">
        <f t="shared" si="26"/>
        <v>2377.3715073364247</v>
      </c>
      <c r="L45" s="3">
        <f t="shared" si="26"/>
        <v>2436.8057950198349</v>
      </c>
      <c r="M45" s="3">
        <f t="shared" si="26"/>
        <v>2497.7259398953306</v>
      </c>
      <c r="N45" s="3">
        <f t="shared" si="26"/>
        <v>2560.1690883927135</v>
      </c>
      <c r="O45" s="3">
        <f t="shared" si="26"/>
        <v>2624.1733156025311</v>
      </c>
      <c r="P45" s="3">
        <f t="shared" si="26"/>
        <v>2689.7776484925944</v>
      </c>
      <c r="Q45" s="3">
        <f t="shared" si="26"/>
        <v>2757.0220897049089</v>
      </c>
      <c r="R45" s="3">
        <v>5000</v>
      </c>
      <c r="S45" s="3">
        <f>+R44*(1+S$5)</f>
        <v>2896.5963329962192</v>
      </c>
      <c r="T45" s="3">
        <f>+S44*(1+T$5)</f>
        <v>2969.0112413211245</v>
      </c>
      <c r="U45" s="3">
        <f>+T44*(1+U$5)</f>
        <v>3043.2365223541524</v>
      </c>
      <c r="V45" s="3">
        <f>+U44*(1+V$5)</f>
        <v>3119.317435413006</v>
      </c>
      <c r="W45" s="3">
        <v>6250</v>
      </c>
      <c r="X45" s="12">
        <f>+W44*(1+X$5)</f>
        <v>3277.2328805807888</v>
      </c>
      <c r="Y45" s="12">
        <f>+X44*(1+Y$5)</f>
        <v>3359.1637025953082</v>
      </c>
      <c r="Z45" s="12">
        <f>+Y44*(1+Z$5)</f>
        <v>3443.1427951601904</v>
      </c>
      <c r="AA45" s="12">
        <f>+Z44*(1+AA$5)</f>
        <v>3529.221365039195</v>
      </c>
      <c r="AB45" s="12">
        <v>7500</v>
      </c>
      <c r="AC45" s="12">
        <f t="shared" ref="AC45:AU45" si="27">+AB44*(1+AC$5)</f>
        <v>3707.8881966443032</v>
      </c>
      <c r="AD45" s="12">
        <f t="shared" si="27"/>
        <v>3800.5854015604104</v>
      </c>
      <c r="AE45" s="12">
        <f t="shared" si="27"/>
        <v>3895.6000365994205</v>
      </c>
      <c r="AF45" s="12">
        <f t="shared" si="27"/>
        <v>3992.9900375144057</v>
      </c>
      <c r="AG45" s="12">
        <f t="shared" si="27"/>
        <v>4092.8147884522655</v>
      </c>
      <c r="AH45" s="12">
        <f t="shared" si="27"/>
        <v>4195.1351581635718</v>
      </c>
      <c r="AI45" s="12">
        <f t="shared" si="27"/>
        <v>4300.0135371176602</v>
      </c>
      <c r="AJ45" s="12">
        <f t="shared" si="27"/>
        <v>4407.513875545601</v>
      </c>
      <c r="AK45" s="12">
        <f t="shared" si="27"/>
        <v>4517.7017224342408</v>
      </c>
      <c r="AL45" s="12">
        <f t="shared" si="27"/>
        <v>4630.6442654950961</v>
      </c>
      <c r="AM45" s="12">
        <f t="shared" si="27"/>
        <v>4746.4103721324727</v>
      </c>
      <c r="AN45" s="12">
        <f t="shared" si="27"/>
        <v>4865.070631435784</v>
      </c>
      <c r="AO45" s="12">
        <f t="shared" si="27"/>
        <v>4986.6973972216783</v>
      </c>
      <c r="AP45" s="12">
        <f t="shared" si="27"/>
        <v>5111.3648321522196</v>
      </c>
      <c r="AQ45" s="12">
        <f t="shared" si="27"/>
        <v>5239.1489529560249</v>
      </c>
      <c r="AR45" s="12">
        <f t="shared" si="27"/>
        <v>5370.1276767799254</v>
      </c>
      <c r="AS45" s="12">
        <f t="shared" si="27"/>
        <v>5504.3808686994234</v>
      </c>
      <c r="AT45" s="12">
        <f t="shared" si="27"/>
        <v>5641.9903904169087</v>
      </c>
      <c r="AU45" s="12">
        <f t="shared" si="27"/>
        <v>5783.0401501773313</v>
      </c>
      <c r="AV45" s="13">
        <f>SUM(D44:AU44)</f>
        <v>157104.64615727117</v>
      </c>
    </row>
    <row r="46" spans="2:48" x14ac:dyDescent="0.3">
      <c r="B46" s="2" t="s">
        <v>8</v>
      </c>
      <c r="D46" s="3">
        <v>1550</v>
      </c>
      <c r="E46" s="3">
        <f>+D46*(1+E$5)</f>
        <v>1588.7499999999998</v>
      </c>
      <c r="F46" s="3">
        <f t="shared" ref="F46:T46" si="28">+E46*(1+F$5)</f>
        <v>1628.4687499999995</v>
      </c>
      <c r="G46" s="3">
        <f t="shared" si="28"/>
        <v>1669.1804687499994</v>
      </c>
      <c r="H46" s="3">
        <f t="shared" si="28"/>
        <v>1710.9099804687492</v>
      </c>
      <c r="I46" s="3">
        <f t="shared" si="28"/>
        <v>1753.6827299804677</v>
      </c>
      <c r="J46" s="3">
        <f t="shared" si="28"/>
        <v>1797.5247982299793</v>
      </c>
      <c r="K46" s="3">
        <f t="shared" si="28"/>
        <v>1842.4629181857285</v>
      </c>
      <c r="L46" s="3">
        <f t="shared" si="28"/>
        <v>1888.5244911403715</v>
      </c>
      <c r="M46" s="3">
        <f t="shared" si="28"/>
        <v>1935.7376034188806</v>
      </c>
      <c r="N46" s="3">
        <f t="shared" si="28"/>
        <v>1984.1310435043524</v>
      </c>
      <c r="O46" s="3">
        <f t="shared" si="28"/>
        <v>2033.7343195919611</v>
      </c>
      <c r="P46" s="3">
        <f t="shared" si="28"/>
        <v>2084.5776775817599</v>
      </c>
      <c r="Q46" s="3">
        <f t="shared" si="28"/>
        <v>2136.6921195213035</v>
      </c>
      <c r="R46" s="3">
        <f t="shared" si="28"/>
        <v>2190.1094225093361</v>
      </c>
      <c r="S46" s="3">
        <f t="shared" si="28"/>
        <v>2244.8621580720692</v>
      </c>
      <c r="T46" s="3">
        <f t="shared" si="28"/>
        <v>2300.9837120238708</v>
      </c>
      <c r="U46" s="3">
        <f t="shared" ref="U46:AU46" si="29">+T46*(1+U$5)</f>
        <v>2358.5083048244674</v>
      </c>
      <c r="V46" s="3">
        <f t="shared" si="29"/>
        <v>2417.4710124450789</v>
      </c>
      <c r="W46" s="3">
        <f t="shared" si="29"/>
        <v>2477.9077877562058</v>
      </c>
      <c r="X46" s="12">
        <f t="shared" si="29"/>
        <v>2539.8554824501107</v>
      </c>
      <c r="Y46" s="12">
        <f t="shared" si="29"/>
        <v>2603.351869511363</v>
      </c>
      <c r="Z46" s="12">
        <f t="shared" si="29"/>
        <v>2668.4356662491468</v>
      </c>
      <c r="AA46" s="12">
        <f t="shared" si="29"/>
        <v>2735.1465579053752</v>
      </c>
      <c r="AB46" s="12">
        <f t="shared" si="29"/>
        <v>2803.5252218530095</v>
      </c>
      <c r="AC46" s="12">
        <f t="shared" si="29"/>
        <v>2873.6133523993344</v>
      </c>
      <c r="AD46" s="12">
        <f t="shared" si="29"/>
        <v>2945.4536862093173</v>
      </c>
      <c r="AE46" s="12">
        <f t="shared" si="29"/>
        <v>3019.0900283645501</v>
      </c>
      <c r="AF46" s="12">
        <f t="shared" si="29"/>
        <v>3094.5672790736635</v>
      </c>
      <c r="AG46" s="12">
        <f t="shared" si="29"/>
        <v>3171.9314610505048</v>
      </c>
      <c r="AH46" s="12">
        <f t="shared" si="29"/>
        <v>3251.2297475767673</v>
      </c>
      <c r="AI46" s="12">
        <f t="shared" si="29"/>
        <v>3332.5104912661864</v>
      </c>
      <c r="AJ46" s="12">
        <f t="shared" si="29"/>
        <v>3415.8232535478405</v>
      </c>
      <c r="AK46" s="12">
        <f>+AJ46*(1+AK$5)</f>
        <v>3501.2188348865361</v>
      </c>
      <c r="AL46" s="12">
        <f t="shared" si="29"/>
        <v>3588.7493057586994</v>
      </c>
      <c r="AM46" s="12">
        <f t="shared" si="29"/>
        <v>3678.4680384026665</v>
      </c>
      <c r="AN46" s="12">
        <f t="shared" si="29"/>
        <v>3770.429739362733</v>
      </c>
      <c r="AO46" s="12">
        <f t="shared" si="29"/>
        <v>3864.6904828468009</v>
      </c>
      <c r="AP46" s="12">
        <f t="shared" si="29"/>
        <v>3961.3077449179705</v>
      </c>
      <c r="AQ46" s="12">
        <f t="shared" si="29"/>
        <v>4060.3404385409194</v>
      </c>
      <c r="AR46" s="12">
        <f t="shared" si="29"/>
        <v>4161.8489495044423</v>
      </c>
      <c r="AS46" s="12">
        <f t="shared" si="29"/>
        <v>4265.8951732420528</v>
      </c>
      <c r="AT46" s="12">
        <f t="shared" si="29"/>
        <v>4372.5425525731034</v>
      </c>
      <c r="AU46" s="12">
        <f t="shared" si="29"/>
        <v>4481.856116387431</v>
      </c>
      <c r="AV46" s="13">
        <f t="shared" ref="AV46:AV53" si="30">SUM(D46:AU46)</f>
        <v>121756.10077188512</v>
      </c>
    </row>
    <row r="47" spans="2:48" x14ac:dyDescent="0.3">
      <c r="B47" s="2" t="s">
        <v>21</v>
      </c>
      <c r="D47" s="3">
        <v>1000</v>
      </c>
      <c r="E47" s="3">
        <v>1800</v>
      </c>
      <c r="F47" s="3">
        <v>1800</v>
      </c>
      <c r="G47" s="3">
        <v>1800</v>
      </c>
      <c r="H47" s="3">
        <v>2000</v>
      </c>
      <c r="I47" s="3">
        <v>2000</v>
      </c>
      <c r="J47" s="3">
        <v>2100</v>
      </c>
      <c r="K47" s="3">
        <v>2100</v>
      </c>
      <c r="L47" s="3">
        <v>2200</v>
      </c>
      <c r="M47" s="3">
        <v>2200</v>
      </c>
      <c r="N47" s="3">
        <v>2300</v>
      </c>
      <c r="O47" s="3">
        <v>2300</v>
      </c>
      <c r="P47" s="3">
        <v>2400</v>
      </c>
      <c r="Q47" s="3">
        <v>2400</v>
      </c>
      <c r="R47" s="3">
        <v>2500</v>
      </c>
      <c r="S47" s="3">
        <v>2500</v>
      </c>
      <c r="T47" s="3">
        <v>2600</v>
      </c>
      <c r="U47" s="3">
        <v>2600</v>
      </c>
      <c r="V47" s="3">
        <v>2700</v>
      </c>
      <c r="W47" s="3">
        <v>2700</v>
      </c>
      <c r="X47" s="12">
        <v>2800</v>
      </c>
      <c r="Y47" s="12">
        <v>2800</v>
      </c>
      <c r="Z47" s="12">
        <v>2800</v>
      </c>
      <c r="AA47" s="12">
        <v>2800</v>
      </c>
      <c r="AB47" s="12">
        <v>3000</v>
      </c>
      <c r="AC47" s="12">
        <v>3100</v>
      </c>
      <c r="AD47" s="12">
        <v>3100</v>
      </c>
      <c r="AE47" s="12">
        <v>3200</v>
      </c>
      <c r="AF47" s="12">
        <v>3200</v>
      </c>
      <c r="AG47" s="12">
        <v>3300</v>
      </c>
      <c r="AH47" s="12">
        <v>4000</v>
      </c>
      <c r="AI47" s="12">
        <v>4000</v>
      </c>
      <c r="AJ47" s="12">
        <v>4200</v>
      </c>
      <c r="AK47" s="12">
        <v>4200</v>
      </c>
      <c r="AL47" s="12">
        <v>4300</v>
      </c>
      <c r="AM47" s="12">
        <v>4300</v>
      </c>
      <c r="AN47" s="12">
        <v>4400</v>
      </c>
      <c r="AO47" s="12">
        <v>4400</v>
      </c>
      <c r="AP47" s="12">
        <v>4500</v>
      </c>
      <c r="AQ47" s="12">
        <v>4500</v>
      </c>
      <c r="AR47" s="12">
        <v>4600</v>
      </c>
      <c r="AS47" s="12">
        <v>4600</v>
      </c>
      <c r="AT47" s="12">
        <v>4700</v>
      </c>
      <c r="AU47" s="12">
        <v>4700</v>
      </c>
      <c r="AV47" s="13">
        <f t="shared" si="30"/>
        <v>135500</v>
      </c>
    </row>
    <row r="48" spans="2:48" x14ac:dyDescent="0.3">
      <c r="B48" s="2" t="s">
        <v>43</v>
      </c>
      <c r="D48" s="3">
        <v>1000</v>
      </c>
      <c r="E48" s="3">
        <f t="shared" ref="E48:T48" si="31">+D48*(1+E$5)</f>
        <v>1025</v>
      </c>
      <c r="F48" s="3">
        <f t="shared" si="31"/>
        <v>1050.625</v>
      </c>
      <c r="G48" s="3">
        <f t="shared" si="31"/>
        <v>1076.890625</v>
      </c>
      <c r="H48" s="3">
        <f t="shared" si="31"/>
        <v>1103.8128906249999</v>
      </c>
      <c r="I48" s="3">
        <f t="shared" si="31"/>
        <v>1131.4082128906248</v>
      </c>
      <c r="J48" s="3">
        <f t="shared" si="31"/>
        <v>1159.6934182128903</v>
      </c>
      <c r="K48" s="3">
        <f t="shared" si="31"/>
        <v>1188.6857536682123</v>
      </c>
      <c r="L48" s="3">
        <f t="shared" si="31"/>
        <v>1218.4028975099175</v>
      </c>
      <c r="M48" s="3">
        <f t="shared" si="31"/>
        <v>1248.8629699476653</v>
      </c>
      <c r="N48" s="3">
        <f t="shared" si="31"/>
        <v>1280.0845441963568</v>
      </c>
      <c r="O48" s="3">
        <f t="shared" si="31"/>
        <v>1312.0866578012656</v>
      </c>
      <c r="P48" s="3">
        <f t="shared" si="31"/>
        <v>1344.8888242462972</v>
      </c>
      <c r="Q48" s="3">
        <f t="shared" si="31"/>
        <v>1378.5110448524545</v>
      </c>
      <c r="R48" s="3">
        <f t="shared" si="31"/>
        <v>1412.9738209737657</v>
      </c>
      <c r="S48" s="3">
        <f t="shared" si="31"/>
        <v>1448.2981664981096</v>
      </c>
      <c r="T48" s="3">
        <f t="shared" si="31"/>
        <v>1484.5056206605623</v>
      </c>
      <c r="U48" s="3">
        <f t="shared" ref="U48:AU48" si="32">+T48*(1+U$5)</f>
        <v>1521.6182611770762</v>
      </c>
      <c r="V48" s="3">
        <f t="shared" si="32"/>
        <v>1559.658717706503</v>
      </c>
      <c r="W48" s="3">
        <f t="shared" si="32"/>
        <v>1598.6501856491655</v>
      </c>
      <c r="X48" s="3">
        <f t="shared" si="32"/>
        <v>1638.6164402903944</v>
      </c>
      <c r="Y48" s="3">
        <f t="shared" si="32"/>
        <v>1679.5818512976541</v>
      </c>
      <c r="Z48" s="3">
        <f t="shared" si="32"/>
        <v>1721.5713975800952</v>
      </c>
      <c r="AA48" s="3">
        <f t="shared" si="32"/>
        <v>1764.6106825195975</v>
      </c>
      <c r="AB48" s="3">
        <f t="shared" si="32"/>
        <v>1808.7259495825872</v>
      </c>
      <c r="AC48" s="3">
        <f t="shared" si="32"/>
        <v>1853.9440983221516</v>
      </c>
      <c r="AD48" s="3">
        <f t="shared" si="32"/>
        <v>1900.2927007802052</v>
      </c>
      <c r="AE48" s="3">
        <f t="shared" si="32"/>
        <v>1947.8000182997102</v>
      </c>
      <c r="AF48" s="3">
        <f t="shared" si="32"/>
        <v>1996.4950187572028</v>
      </c>
      <c r="AG48" s="3">
        <v>4000</v>
      </c>
      <c r="AH48" s="3">
        <f t="shared" si="32"/>
        <v>4100</v>
      </c>
      <c r="AI48" s="3">
        <f t="shared" si="32"/>
        <v>4202.5</v>
      </c>
      <c r="AJ48" s="3">
        <f t="shared" si="32"/>
        <v>4307.5625</v>
      </c>
      <c r="AK48" s="3">
        <f>+AJ48*(1+AK$5)</f>
        <v>4415.2515624999996</v>
      </c>
      <c r="AL48" s="3">
        <f t="shared" si="32"/>
        <v>4525.6328515624991</v>
      </c>
      <c r="AM48" s="3">
        <f t="shared" si="32"/>
        <v>4638.7736728515611</v>
      </c>
      <c r="AN48" s="3">
        <f t="shared" si="32"/>
        <v>4754.7430146728493</v>
      </c>
      <c r="AO48" s="3">
        <f t="shared" si="32"/>
        <v>4873.6115900396699</v>
      </c>
      <c r="AP48" s="3">
        <f t="shared" si="32"/>
        <v>4995.4518797906612</v>
      </c>
      <c r="AQ48" s="3">
        <f t="shared" si="32"/>
        <v>5120.3381767854271</v>
      </c>
      <c r="AR48" s="3">
        <f t="shared" si="32"/>
        <v>5248.3466312050623</v>
      </c>
      <c r="AS48" s="3">
        <f t="shared" si="32"/>
        <v>5379.5552969851888</v>
      </c>
      <c r="AT48" s="3">
        <f t="shared" si="32"/>
        <v>5514.0441794098178</v>
      </c>
      <c r="AU48" s="3">
        <f t="shared" si="32"/>
        <v>5651.8952838950627</v>
      </c>
      <c r="AV48" s="13">
        <f t="shared" si="30"/>
        <v>113584.00240874325</v>
      </c>
    </row>
    <row r="49" spans="2:50" x14ac:dyDescent="0.3">
      <c r="B49" s="2" t="s">
        <v>9</v>
      </c>
      <c r="D49" s="3">
        <v>1800</v>
      </c>
      <c r="E49" s="3">
        <f>+D49*(1+E$5)</f>
        <v>1844.9999999999998</v>
      </c>
      <c r="F49" s="3">
        <f t="shared" ref="F49:T49" si="33">+E49*(1+F$5)</f>
        <v>1891.1249999999995</v>
      </c>
      <c r="G49" s="3">
        <f t="shared" si="33"/>
        <v>1938.4031249999994</v>
      </c>
      <c r="H49" s="3">
        <f t="shared" si="33"/>
        <v>1986.8632031249992</v>
      </c>
      <c r="I49" s="3">
        <f t="shared" si="33"/>
        <v>2036.5347832031241</v>
      </c>
      <c r="J49" s="3">
        <f t="shared" si="33"/>
        <v>2087.4481527832022</v>
      </c>
      <c r="K49" s="3">
        <f t="shared" si="33"/>
        <v>2139.6343566027822</v>
      </c>
      <c r="L49" s="3">
        <f t="shared" si="33"/>
        <v>2193.1252155178518</v>
      </c>
      <c r="M49" s="3">
        <f t="shared" si="33"/>
        <v>2247.953345905798</v>
      </c>
      <c r="N49" s="3">
        <f t="shared" si="33"/>
        <v>2304.1521795534427</v>
      </c>
      <c r="O49" s="3">
        <f t="shared" si="33"/>
        <v>2361.7559840422787</v>
      </c>
      <c r="P49" s="3">
        <f t="shared" si="33"/>
        <v>2420.7998836433353</v>
      </c>
      <c r="Q49" s="3">
        <f t="shared" si="33"/>
        <v>2481.3198807344183</v>
      </c>
      <c r="R49" s="3">
        <f t="shared" si="33"/>
        <v>2543.3528777527786</v>
      </c>
      <c r="S49" s="3">
        <f t="shared" si="33"/>
        <v>2606.9366996965978</v>
      </c>
      <c r="T49" s="3">
        <f t="shared" si="33"/>
        <v>2672.1101171890123</v>
      </c>
      <c r="U49" s="3">
        <f t="shared" ref="U49:AU49" si="34">+T49*(1+U$5)</f>
        <v>2738.9128701187374</v>
      </c>
      <c r="V49" s="3">
        <f t="shared" si="34"/>
        <v>2807.3856918717056</v>
      </c>
      <c r="W49" s="3">
        <f t="shared" si="34"/>
        <v>2877.570334168498</v>
      </c>
      <c r="X49" s="12">
        <f t="shared" si="34"/>
        <v>2949.5095925227101</v>
      </c>
      <c r="Y49" s="12">
        <f t="shared" si="34"/>
        <v>3023.2473323357776</v>
      </c>
      <c r="Z49" s="12">
        <f t="shared" si="34"/>
        <v>3098.8285156441716</v>
      </c>
      <c r="AA49" s="12">
        <f t="shared" si="34"/>
        <v>3176.2992285352757</v>
      </c>
      <c r="AB49" s="12">
        <f t="shared" si="34"/>
        <v>3255.7067092486573</v>
      </c>
      <c r="AC49" s="12">
        <f t="shared" si="34"/>
        <v>3337.0993769798733</v>
      </c>
      <c r="AD49" s="12">
        <f t="shared" si="34"/>
        <v>3420.5268614043698</v>
      </c>
      <c r="AE49" s="12">
        <f t="shared" si="34"/>
        <v>3506.0400329394788</v>
      </c>
      <c r="AF49" s="12">
        <f t="shared" si="34"/>
        <v>3593.6910337629656</v>
      </c>
      <c r="AG49" s="12">
        <f t="shared" si="34"/>
        <v>3683.5333096070394</v>
      </c>
      <c r="AH49" s="12">
        <f t="shared" si="34"/>
        <v>3775.6216423472151</v>
      </c>
      <c r="AI49" s="12">
        <f t="shared" si="34"/>
        <v>3870.012183405895</v>
      </c>
      <c r="AJ49" s="12">
        <f t="shared" si="34"/>
        <v>3966.7624879910422</v>
      </c>
      <c r="AK49" s="12">
        <f>+AJ49*(1+AK$5)</f>
        <v>4065.9315501908181</v>
      </c>
      <c r="AL49" s="12">
        <f t="shared" si="34"/>
        <v>4167.5798389455886</v>
      </c>
      <c r="AM49" s="12">
        <f t="shared" si="34"/>
        <v>4271.7693349192277</v>
      </c>
      <c r="AN49" s="12">
        <f t="shared" si="34"/>
        <v>4378.5635682922084</v>
      </c>
      <c r="AO49" s="12">
        <f t="shared" si="34"/>
        <v>4488.0276574995132</v>
      </c>
      <c r="AP49" s="12">
        <f t="shared" si="34"/>
        <v>4600.2283489370011</v>
      </c>
      <c r="AQ49" s="12">
        <f t="shared" si="34"/>
        <v>4715.2340576604256</v>
      </c>
      <c r="AR49" s="12">
        <f t="shared" si="34"/>
        <v>4833.1149091019361</v>
      </c>
      <c r="AS49" s="12">
        <f t="shared" si="34"/>
        <v>4953.9427818294844</v>
      </c>
      <c r="AT49" s="12">
        <f t="shared" si="34"/>
        <v>5077.791351375221</v>
      </c>
      <c r="AU49" s="12">
        <f t="shared" si="34"/>
        <v>5204.736135159601</v>
      </c>
      <c r="AV49" s="13">
        <f t="shared" si="30"/>
        <v>141394.18154154407</v>
      </c>
    </row>
    <row r="50" spans="2:50" x14ac:dyDescent="0.3">
      <c r="B50" s="2" t="s">
        <v>44</v>
      </c>
      <c r="D50" s="3">
        <v>3000</v>
      </c>
      <c r="E50" s="3">
        <f>+D50*(1+E$5)</f>
        <v>3074.9999999999995</v>
      </c>
      <c r="F50" s="3">
        <f t="shared" ref="F50:T50" si="35">+E50*(1+F$5)</f>
        <v>3151.8749999999991</v>
      </c>
      <c r="G50" s="3">
        <f t="shared" si="35"/>
        <v>3230.6718749999986</v>
      </c>
      <c r="H50" s="3">
        <f t="shared" si="35"/>
        <v>3311.4386718749984</v>
      </c>
      <c r="I50" s="3">
        <f t="shared" si="35"/>
        <v>3394.224638671873</v>
      </c>
      <c r="J50" s="3">
        <f t="shared" si="35"/>
        <v>3479.0802546386694</v>
      </c>
      <c r="K50" s="3">
        <f t="shared" si="35"/>
        <v>3566.0572610046361</v>
      </c>
      <c r="L50" s="3">
        <f t="shared" si="35"/>
        <v>3655.2086925297517</v>
      </c>
      <c r="M50" s="3">
        <v>5000</v>
      </c>
      <c r="N50" s="3">
        <f t="shared" si="35"/>
        <v>5125</v>
      </c>
      <c r="O50" s="3">
        <f t="shared" si="35"/>
        <v>5253.1249999999991</v>
      </c>
      <c r="P50" s="3">
        <f t="shared" si="35"/>
        <v>5384.4531249999982</v>
      </c>
      <c r="Q50" s="3">
        <f t="shared" si="35"/>
        <v>5519.0644531249973</v>
      </c>
      <c r="R50" s="3">
        <v>6000</v>
      </c>
      <c r="S50" s="3">
        <f t="shared" si="35"/>
        <v>6149.9999999999991</v>
      </c>
      <c r="T50" s="3">
        <f t="shared" si="35"/>
        <v>6303.7499999999982</v>
      </c>
      <c r="U50" s="3">
        <f t="shared" ref="U50:AU50" si="36">+T50*(1+U$5)</f>
        <v>6461.3437499999973</v>
      </c>
      <c r="V50" s="3">
        <f t="shared" si="36"/>
        <v>6622.8773437499967</v>
      </c>
      <c r="W50" s="3">
        <v>10000</v>
      </c>
      <c r="X50" s="12">
        <f t="shared" si="36"/>
        <v>10250</v>
      </c>
      <c r="Y50" s="12">
        <f t="shared" si="36"/>
        <v>10506.249999999998</v>
      </c>
      <c r="Z50" s="12">
        <f t="shared" si="36"/>
        <v>10768.906249999996</v>
      </c>
      <c r="AA50" s="12">
        <f t="shared" si="36"/>
        <v>11038.128906249995</v>
      </c>
      <c r="AB50" s="12">
        <v>15000</v>
      </c>
      <c r="AC50" s="12">
        <f t="shared" si="36"/>
        <v>15374.999999999998</v>
      </c>
      <c r="AD50" s="12">
        <f t="shared" si="36"/>
        <v>15759.374999999996</v>
      </c>
      <c r="AE50" s="12">
        <f t="shared" si="36"/>
        <v>16153.359374999995</v>
      </c>
      <c r="AF50" s="12">
        <f t="shared" si="36"/>
        <v>16557.193359374993</v>
      </c>
      <c r="AG50" s="12">
        <v>25000</v>
      </c>
      <c r="AH50" s="12">
        <f t="shared" si="36"/>
        <v>25624.999999999996</v>
      </c>
      <c r="AI50" s="12">
        <f t="shared" si="36"/>
        <v>26265.624999999993</v>
      </c>
      <c r="AJ50" s="12">
        <f t="shared" si="36"/>
        <v>26922.265624999989</v>
      </c>
      <c r="AK50" s="12">
        <f>+AJ50*(1+AK$5)</f>
        <v>27595.322265624985</v>
      </c>
      <c r="AL50" s="12">
        <f t="shared" si="36"/>
        <v>28285.205322265607</v>
      </c>
      <c r="AM50" s="12">
        <f t="shared" si="36"/>
        <v>28992.335455322245</v>
      </c>
      <c r="AN50" s="12">
        <f t="shared" si="36"/>
        <v>29717.1438417053</v>
      </c>
      <c r="AO50" s="12">
        <f t="shared" si="36"/>
        <v>30460.072437747931</v>
      </c>
      <c r="AP50" s="12">
        <f t="shared" si="36"/>
        <v>31221.574248691628</v>
      </c>
      <c r="AQ50" s="12">
        <f t="shared" si="36"/>
        <v>32002.113604908915</v>
      </c>
      <c r="AR50" s="12">
        <f t="shared" si="36"/>
        <v>32802.166445031631</v>
      </c>
      <c r="AS50" s="12">
        <f t="shared" si="36"/>
        <v>33622.220606157418</v>
      </c>
      <c r="AT50" s="12">
        <f t="shared" si="36"/>
        <v>34462.776121311348</v>
      </c>
      <c r="AU50" s="12">
        <f t="shared" si="36"/>
        <v>35324.345524344128</v>
      </c>
      <c r="AV50" s="13">
        <f t="shared" si="30"/>
        <v>667389.54945433105</v>
      </c>
    </row>
    <row r="51" spans="2:50" x14ac:dyDescent="0.3">
      <c r="B51" s="2" t="s">
        <v>14</v>
      </c>
      <c r="D51" s="3">
        <v>3600</v>
      </c>
      <c r="E51" s="3">
        <f t="shared" ref="E51:T51" si="37">+D51*(1+E$5)</f>
        <v>3689.9999999999995</v>
      </c>
      <c r="F51" s="3">
        <f t="shared" si="37"/>
        <v>3782.2499999999991</v>
      </c>
      <c r="G51" s="3">
        <f t="shared" si="37"/>
        <v>3876.8062499999987</v>
      </c>
      <c r="H51" s="3">
        <f t="shared" si="37"/>
        <v>3973.7264062499985</v>
      </c>
      <c r="I51" s="3">
        <f t="shared" si="37"/>
        <v>4073.0695664062482</v>
      </c>
      <c r="J51" s="3">
        <f t="shared" si="37"/>
        <v>4174.8963055664044</v>
      </c>
      <c r="K51" s="3">
        <f t="shared" si="37"/>
        <v>4279.2687132055644</v>
      </c>
      <c r="L51" s="3">
        <f t="shared" si="37"/>
        <v>4386.2504310357035</v>
      </c>
      <c r="M51" s="3">
        <f t="shared" si="37"/>
        <v>4495.9066918115959</v>
      </c>
      <c r="N51" s="3">
        <f t="shared" si="37"/>
        <v>4608.3043591068854</v>
      </c>
      <c r="O51" s="3">
        <f t="shared" si="37"/>
        <v>4723.5119680845573</v>
      </c>
      <c r="P51" s="3">
        <f t="shared" si="37"/>
        <v>4841.5997672866706</v>
      </c>
      <c r="Q51" s="3">
        <f t="shared" si="37"/>
        <v>4962.6397614688367</v>
      </c>
      <c r="R51" s="3">
        <v>6000</v>
      </c>
      <c r="S51" s="3">
        <f t="shared" si="37"/>
        <v>6149.9999999999991</v>
      </c>
      <c r="T51" s="3">
        <f t="shared" si="37"/>
        <v>6303.7499999999982</v>
      </c>
      <c r="U51" s="3">
        <f t="shared" ref="U51:AU51" si="38">+T51*(1+U$5)</f>
        <v>6461.3437499999973</v>
      </c>
      <c r="V51" s="3">
        <f t="shared" si="38"/>
        <v>6622.8773437499967</v>
      </c>
      <c r="W51" s="3">
        <v>7500</v>
      </c>
      <c r="X51" s="12">
        <f t="shared" si="38"/>
        <v>7687.4999999999991</v>
      </c>
      <c r="Y51" s="12">
        <f t="shared" si="38"/>
        <v>7879.6874999999982</v>
      </c>
      <c r="Z51" s="12">
        <f t="shared" si="38"/>
        <v>8076.6796874999973</v>
      </c>
      <c r="AA51" s="12">
        <f t="shared" si="38"/>
        <v>8278.5966796874964</v>
      </c>
      <c r="AB51" s="12">
        <v>8000</v>
      </c>
      <c r="AC51" s="12">
        <f t="shared" si="38"/>
        <v>8200</v>
      </c>
      <c r="AD51" s="12">
        <f t="shared" si="38"/>
        <v>8405</v>
      </c>
      <c r="AE51" s="12">
        <f t="shared" si="38"/>
        <v>8615.125</v>
      </c>
      <c r="AF51" s="12">
        <f t="shared" si="38"/>
        <v>8830.5031249999993</v>
      </c>
      <c r="AG51" s="12">
        <f t="shared" si="38"/>
        <v>9051.2657031249983</v>
      </c>
      <c r="AH51" s="12">
        <f t="shared" si="38"/>
        <v>9277.5473457031221</v>
      </c>
      <c r="AI51" s="12">
        <f t="shared" si="38"/>
        <v>9509.4860293456986</v>
      </c>
      <c r="AJ51" s="12">
        <f t="shared" si="38"/>
        <v>9747.2231800793397</v>
      </c>
      <c r="AK51" s="12">
        <f>+AJ51*(1+AK$5)</f>
        <v>9990.9037595813224</v>
      </c>
      <c r="AL51" s="12">
        <f t="shared" si="38"/>
        <v>10240.676353570854</v>
      </c>
      <c r="AM51" s="12">
        <f t="shared" si="38"/>
        <v>10496.693262410125</v>
      </c>
      <c r="AN51" s="12">
        <f t="shared" si="38"/>
        <v>10759.110593970378</v>
      </c>
      <c r="AO51" s="12">
        <f t="shared" si="38"/>
        <v>11028.088358819636</v>
      </c>
      <c r="AP51" s="12">
        <f t="shared" si="38"/>
        <v>11303.790567790125</v>
      </c>
      <c r="AQ51" s="12">
        <f t="shared" si="38"/>
        <v>11586.385331984877</v>
      </c>
      <c r="AR51" s="12">
        <f t="shared" si="38"/>
        <v>11876.044965284498</v>
      </c>
      <c r="AS51" s="12">
        <f t="shared" si="38"/>
        <v>12172.94608941661</v>
      </c>
      <c r="AT51" s="12">
        <f t="shared" si="38"/>
        <v>12477.269741652024</v>
      </c>
      <c r="AU51" s="12">
        <f t="shared" si="38"/>
        <v>12789.201485193324</v>
      </c>
      <c r="AV51" s="13">
        <f t="shared" si="30"/>
        <v>334785.92607408686</v>
      </c>
    </row>
    <row r="52" spans="2:50" x14ac:dyDescent="0.3">
      <c r="B52" s="2" t="s">
        <v>40</v>
      </c>
      <c r="D52" s="3">
        <v>4000</v>
      </c>
      <c r="E52" s="3">
        <v>10000</v>
      </c>
      <c r="F52" s="3">
        <v>10000</v>
      </c>
      <c r="G52" s="3">
        <v>5000</v>
      </c>
      <c r="H52" s="3">
        <v>5000</v>
      </c>
      <c r="I52" s="3">
        <v>5000</v>
      </c>
      <c r="J52" s="3">
        <v>10000</v>
      </c>
      <c r="K52" s="3">
        <v>5000</v>
      </c>
      <c r="L52" s="3">
        <v>5000</v>
      </c>
      <c r="M52" s="3">
        <v>5000</v>
      </c>
      <c r="N52" s="3">
        <v>5000</v>
      </c>
      <c r="O52" s="3">
        <v>10000</v>
      </c>
      <c r="P52" s="3">
        <v>5000</v>
      </c>
      <c r="Q52" s="3">
        <v>5000</v>
      </c>
      <c r="R52" s="3">
        <v>5000</v>
      </c>
      <c r="S52" s="3">
        <v>5000</v>
      </c>
      <c r="T52" s="3">
        <v>10000</v>
      </c>
      <c r="U52" s="3">
        <v>5000</v>
      </c>
      <c r="V52" s="3">
        <v>5000</v>
      </c>
      <c r="W52" s="3">
        <v>5000</v>
      </c>
      <c r="X52" s="12">
        <v>5000</v>
      </c>
      <c r="Y52" s="12">
        <v>10000</v>
      </c>
      <c r="Z52" s="12">
        <v>5000</v>
      </c>
      <c r="AA52" s="12">
        <v>5000</v>
      </c>
      <c r="AB52" s="12">
        <v>5000</v>
      </c>
      <c r="AC52" s="12">
        <v>5000</v>
      </c>
      <c r="AD52" s="12">
        <v>10000</v>
      </c>
      <c r="AE52" s="12">
        <v>5000</v>
      </c>
      <c r="AF52" s="12">
        <v>5000</v>
      </c>
      <c r="AG52" s="12">
        <v>5000</v>
      </c>
      <c r="AH52" s="12">
        <v>5000</v>
      </c>
      <c r="AI52" s="12">
        <v>5000</v>
      </c>
      <c r="AJ52" s="12">
        <v>10000</v>
      </c>
      <c r="AK52" s="12">
        <v>5000</v>
      </c>
      <c r="AL52" s="12">
        <v>5000</v>
      </c>
      <c r="AM52" s="12">
        <v>5000</v>
      </c>
      <c r="AN52" s="12">
        <v>5000</v>
      </c>
      <c r="AO52" s="12">
        <v>5000</v>
      </c>
      <c r="AP52" s="12">
        <v>10000</v>
      </c>
      <c r="AQ52" s="12">
        <v>5000</v>
      </c>
      <c r="AR52" s="12">
        <v>5000</v>
      </c>
      <c r="AS52" s="12">
        <v>5000</v>
      </c>
      <c r="AT52" s="12">
        <v>5000</v>
      </c>
      <c r="AU52" s="12">
        <v>5000</v>
      </c>
      <c r="AV52" s="13">
        <f t="shared" si="30"/>
        <v>264000</v>
      </c>
    </row>
    <row r="53" spans="2:50" x14ac:dyDescent="0.3">
      <c r="B53" s="2" t="s">
        <v>13</v>
      </c>
      <c r="D53" s="3">
        <v>2500</v>
      </c>
      <c r="E53" s="3">
        <f t="shared" ref="E53:AU53" si="39">+D53*(1+E$5)</f>
        <v>2562.5</v>
      </c>
      <c r="F53" s="3">
        <f t="shared" si="39"/>
        <v>2626.5624999999995</v>
      </c>
      <c r="G53" s="3">
        <f t="shared" si="39"/>
        <v>2692.2265624999991</v>
      </c>
      <c r="H53" s="3">
        <f t="shared" si="39"/>
        <v>2759.5322265624986</v>
      </c>
      <c r="I53" s="3">
        <f t="shared" si="39"/>
        <v>2828.520532226561</v>
      </c>
      <c r="J53" s="3">
        <f t="shared" si="39"/>
        <v>2899.233545532225</v>
      </c>
      <c r="K53" s="3">
        <f t="shared" si="39"/>
        <v>2971.7143841705301</v>
      </c>
      <c r="L53" s="3">
        <f t="shared" si="39"/>
        <v>3046.0072437747931</v>
      </c>
      <c r="M53" s="3">
        <f t="shared" si="39"/>
        <v>3122.1574248691627</v>
      </c>
      <c r="N53" s="3">
        <f t="shared" si="39"/>
        <v>3200.2113604908914</v>
      </c>
      <c r="O53" s="3">
        <f t="shared" si="39"/>
        <v>3280.2166445031635</v>
      </c>
      <c r="P53" s="3">
        <f t="shared" si="39"/>
        <v>3362.2220606157421</v>
      </c>
      <c r="Q53" s="3">
        <f t="shared" si="39"/>
        <v>3446.2776121311354</v>
      </c>
      <c r="R53" s="3">
        <v>6000</v>
      </c>
      <c r="S53" s="3">
        <f t="shared" si="39"/>
        <v>6149.9999999999991</v>
      </c>
      <c r="T53" s="3">
        <f t="shared" si="39"/>
        <v>6303.7499999999982</v>
      </c>
      <c r="U53" s="3">
        <f t="shared" si="39"/>
        <v>6461.3437499999973</v>
      </c>
      <c r="V53" s="3">
        <f t="shared" si="39"/>
        <v>6622.8773437499967</v>
      </c>
      <c r="W53" s="3">
        <v>7500</v>
      </c>
      <c r="X53" s="12">
        <f t="shared" si="39"/>
        <v>7687.4999999999991</v>
      </c>
      <c r="Y53" s="12">
        <f t="shared" si="39"/>
        <v>7879.6874999999982</v>
      </c>
      <c r="Z53" s="12">
        <f t="shared" si="39"/>
        <v>8076.6796874999973</v>
      </c>
      <c r="AA53" s="12">
        <f t="shared" si="39"/>
        <v>8278.5966796874964</v>
      </c>
      <c r="AB53" s="12">
        <v>8000</v>
      </c>
      <c r="AC53" s="12">
        <f t="shared" si="39"/>
        <v>8200</v>
      </c>
      <c r="AD53" s="12">
        <f t="shared" si="39"/>
        <v>8405</v>
      </c>
      <c r="AE53" s="12">
        <f t="shared" si="39"/>
        <v>8615.125</v>
      </c>
      <c r="AF53" s="12">
        <f t="shared" si="39"/>
        <v>8830.5031249999993</v>
      </c>
      <c r="AG53" s="12">
        <f t="shared" si="39"/>
        <v>9051.2657031249983</v>
      </c>
      <c r="AH53" s="12">
        <f t="shared" si="39"/>
        <v>9277.5473457031221</v>
      </c>
      <c r="AI53" s="12">
        <f t="shared" si="39"/>
        <v>9509.4860293456986</v>
      </c>
      <c r="AJ53" s="12">
        <f t="shared" si="39"/>
        <v>9747.2231800793397</v>
      </c>
      <c r="AK53" s="12">
        <f>+AJ53*(1+AK$5)</f>
        <v>9990.9037595813224</v>
      </c>
      <c r="AL53" s="12">
        <f t="shared" si="39"/>
        <v>10240.676353570854</v>
      </c>
      <c r="AM53" s="12">
        <f t="shared" si="39"/>
        <v>10496.693262410125</v>
      </c>
      <c r="AN53" s="12">
        <f t="shared" si="39"/>
        <v>10759.110593970378</v>
      </c>
      <c r="AO53" s="12">
        <f t="shared" si="39"/>
        <v>11028.088358819636</v>
      </c>
      <c r="AP53" s="12">
        <f t="shared" si="39"/>
        <v>11303.790567790125</v>
      </c>
      <c r="AQ53" s="12">
        <f t="shared" si="39"/>
        <v>11586.385331984877</v>
      </c>
      <c r="AR53" s="12">
        <f t="shared" si="39"/>
        <v>11876.044965284498</v>
      </c>
      <c r="AS53" s="12">
        <f t="shared" si="39"/>
        <v>12172.94608941661</v>
      </c>
      <c r="AT53" s="12">
        <f t="shared" si="39"/>
        <v>12477.269741652024</v>
      </c>
      <c r="AU53" s="12">
        <f t="shared" si="39"/>
        <v>12789.201485193324</v>
      </c>
      <c r="AV53" s="13">
        <f t="shared" si="30"/>
        <v>316615.07795124111</v>
      </c>
    </row>
    <row r="54" spans="2:50" x14ac:dyDescent="0.3">
      <c r="B54" s="2" t="s">
        <v>47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>
        <v>50000</v>
      </c>
      <c r="AI54" s="12">
        <v>50000</v>
      </c>
      <c r="AJ54" s="12">
        <v>50000</v>
      </c>
      <c r="AK54" s="12">
        <v>100000</v>
      </c>
      <c r="AL54" s="12">
        <v>100000</v>
      </c>
      <c r="AM54" s="12">
        <v>100000</v>
      </c>
      <c r="AN54" s="12">
        <v>100000</v>
      </c>
      <c r="AO54" s="12">
        <v>100000</v>
      </c>
      <c r="AP54" s="12">
        <v>115000</v>
      </c>
      <c r="AQ54" s="12">
        <v>120000</v>
      </c>
      <c r="AR54" s="12">
        <v>135000</v>
      </c>
      <c r="AS54" s="12">
        <v>150000</v>
      </c>
      <c r="AT54" s="12">
        <v>165000</v>
      </c>
      <c r="AU54" s="12">
        <v>170000</v>
      </c>
      <c r="AV54" s="13"/>
    </row>
    <row r="55" spans="2:50" x14ac:dyDescent="0.3"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2:50" x14ac:dyDescent="0.3">
      <c r="B56" s="14" t="s">
        <v>28</v>
      </c>
      <c r="D56" s="3">
        <f t="shared" ref="D56:AU56" si="40">SUM(D34:D54)</f>
        <v>125008.00176513716</v>
      </c>
      <c r="E56" s="3">
        <f t="shared" si="40"/>
        <v>168570.00176513716</v>
      </c>
      <c r="F56" s="3">
        <f t="shared" si="40"/>
        <v>167142.38301513714</v>
      </c>
      <c r="G56" s="3">
        <f t="shared" si="40"/>
        <v>166357.14842138713</v>
      </c>
      <c r="H56" s="3">
        <f t="shared" si="40"/>
        <v>165567.96069779337</v>
      </c>
      <c r="I56" s="3">
        <f t="shared" si="40"/>
        <v>162362.40500050978</v>
      </c>
      <c r="J56" s="3">
        <f t="shared" si="40"/>
        <v>181448.6420602201</v>
      </c>
      <c r="K56" s="3">
        <f t="shared" si="40"/>
        <v>184765.95779370118</v>
      </c>
      <c r="L56" s="3">
        <f t="shared" si="40"/>
        <v>189726.5717265135</v>
      </c>
      <c r="M56" s="3">
        <f t="shared" si="40"/>
        <v>195777.86644908696</v>
      </c>
      <c r="N56" s="3">
        <f t="shared" si="40"/>
        <v>200720.83022490313</v>
      </c>
      <c r="O56" s="3">
        <f t="shared" si="40"/>
        <v>211126.46228146341</v>
      </c>
      <c r="P56" s="3">
        <f t="shared" si="40"/>
        <v>211646.34309324034</v>
      </c>
      <c r="Q56" s="3">
        <f t="shared" si="40"/>
        <v>216415.97434599037</v>
      </c>
      <c r="R56" s="3">
        <f t="shared" si="40"/>
        <v>226960.99464617105</v>
      </c>
      <c r="S56" s="3">
        <f t="shared" si="40"/>
        <v>218792.86403605589</v>
      </c>
      <c r="T56" s="3">
        <f t="shared" si="40"/>
        <v>228898.88563695736</v>
      </c>
      <c r="U56" s="3">
        <f t="shared" si="40"/>
        <v>229098.47652788123</v>
      </c>
      <c r="V56" s="3">
        <f t="shared" si="40"/>
        <v>239292.3821910783</v>
      </c>
      <c r="W56" s="3">
        <f t="shared" si="40"/>
        <v>215424.74843090988</v>
      </c>
      <c r="X56" s="12">
        <f t="shared" si="40"/>
        <v>189949.64932471316</v>
      </c>
      <c r="Y56" s="12">
        <f t="shared" si="40"/>
        <v>199124.47980783091</v>
      </c>
      <c r="Z56" s="12">
        <f t="shared" si="40"/>
        <v>198403.68105302672</v>
      </c>
      <c r="AA56" s="12">
        <f t="shared" si="40"/>
        <v>200789.86232935241</v>
      </c>
      <c r="AB56" s="12">
        <f t="shared" si="40"/>
        <v>187542.23836976869</v>
      </c>
      <c r="AC56" s="12">
        <f t="shared" si="40"/>
        <v>171614.50012050581</v>
      </c>
      <c r="AD56" s="12">
        <f t="shared" si="40"/>
        <v>179950.63937351847</v>
      </c>
      <c r="AE56" s="12">
        <f t="shared" si="40"/>
        <v>168220.18210785641</v>
      </c>
      <c r="AF56" s="12">
        <f t="shared" si="40"/>
        <v>165062.71341055279</v>
      </c>
      <c r="AG56" s="12">
        <f t="shared" si="40"/>
        <v>178737.83990823111</v>
      </c>
      <c r="AH56" s="12">
        <f t="shared" si="40"/>
        <v>203599.65450733565</v>
      </c>
      <c r="AI56" s="12">
        <f t="shared" si="40"/>
        <v>200670.59169842821</v>
      </c>
      <c r="AJ56" s="12">
        <f t="shared" si="40"/>
        <v>204757.18324088893</v>
      </c>
      <c r="AK56" s="12">
        <f t="shared" si="40"/>
        <v>261550.12707191112</v>
      </c>
      <c r="AL56" s="12">
        <f t="shared" si="40"/>
        <v>281105.53724870889</v>
      </c>
      <c r="AM56" s="12">
        <f t="shared" si="40"/>
        <v>287323.39517992659</v>
      </c>
      <c r="AN56" s="12">
        <f t="shared" si="40"/>
        <v>291988.11030942475</v>
      </c>
      <c r="AO56" s="12">
        <f t="shared" si="40"/>
        <v>296154.71081716038</v>
      </c>
      <c r="AP56" s="12">
        <f t="shared" si="40"/>
        <v>327406.08383758942</v>
      </c>
      <c r="AQ56" s="12">
        <f t="shared" si="40"/>
        <v>272940.10519602912</v>
      </c>
      <c r="AR56" s="12">
        <f t="shared" si="40"/>
        <v>223548.58857592984</v>
      </c>
      <c r="AS56" s="12">
        <f t="shared" si="40"/>
        <v>240734.72580501559</v>
      </c>
      <c r="AT56" s="12">
        <f t="shared" si="40"/>
        <v>362074.8401357659</v>
      </c>
      <c r="AU56" s="12">
        <f t="shared" si="40"/>
        <v>478570.95049572265</v>
      </c>
      <c r="AV56" s="13">
        <f>SUM(D56:AU56)</f>
        <v>9676925.2900344674</v>
      </c>
    </row>
    <row r="57" spans="2:50" x14ac:dyDescent="0.3"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2:50" x14ac:dyDescent="0.3">
      <c r="B58" s="14" t="s">
        <v>12</v>
      </c>
      <c r="D58" s="3">
        <f t="shared" ref="D58:AU58" si="41">+D31-D56</f>
        <v>45491.99823486284</v>
      </c>
      <c r="E58" s="3">
        <f t="shared" si="41"/>
        <v>5179.99823486284</v>
      </c>
      <c r="F58" s="3">
        <f t="shared" si="41"/>
        <v>11980.116984862834</v>
      </c>
      <c r="G58" s="3">
        <f t="shared" si="41"/>
        <v>18294.314078612835</v>
      </c>
      <c r="H58" s="3">
        <f t="shared" si="41"/>
        <v>11786.724364706577</v>
      </c>
      <c r="I58" s="3">
        <f t="shared" si="41"/>
        <v>20350.298128552648</v>
      </c>
      <c r="J58" s="3">
        <f t="shared" si="41"/>
        <v>20782.404874668893</v>
      </c>
      <c r="K58" s="3">
        <f t="shared" si="41"/>
        <v>23674.790891264012</v>
      </c>
      <c r="L58" s="3">
        <f t="shared" si="41"/>
        <v>25108.778275347984</v>
      </c>
      <c r="M58" s="3">
        <f t="shared" si="41"/>
        <v>25143.293206584116</v>
      </c>
      <c r="N58" s="3">
        <f t="shared" si="41"/>
        <v>26483.881362073298</v>
      </c>
      <c r="O58" s="3">
        <f t="shared" si="41"/>
        <v>23566.310952697502</v>
      </c>
      <c r="P58" s="3">
        <f t="shared" si="41"/>
        <v>29746.011083585094</v>
      </c>
      <c r="Q58" s="3">
        <f t="shared" si="41"/>
        <v>30561.188685255678</v>
      </c>
      <c r="R58" s="3">
        <f t="shared" si="41"/>
        <v>25740.597460856137</v>
      </c>
      <c r="S58" s="3">
        <f t="shared" si="41"/>
        <v>40276.267873646953</v>
      </c>
      <c r="T58" s="3">
        <f t="shared" si="41"/>
        <v>36184.474570487975</v>
      </c>
      <c r="U58" s="3">
        <f t="shared" si="41"/>
        <v>42649.467684750212</v>
      </c>
      <c r="V58" s="3">
        <f t="shared" si="41"/>
        <v>57394.260626868898</v>
      </c>
      <c r="W58" s="3">
        <f t="shared" si="41"/>
        <v>-14126.45810743043</v>
      </c>
      <c r="X58" s="12">
        <f t="shared" si="41"/>
        <v>15865.598256853234</v>
      </c>
      <c r="Y58" s="12">
        <f t="shared" si="41"/>
        <v>11320.648963274638</v>
      </c>
      <c r="Z58" s="12">
        <f t="shared" si="41"/>
        <v>16787.07593735648</v>
      </c>
      <c r="AA58" s="12">
        <f t="shared" si="41"/>
        <v>19265.163585790346</v>
      </c>
      <c r="AB58" s="12">
        <f t="shared" si="41"/>
        <v>-22356.952773544239</v>
      </c>
      <c r="AC58" s="12">
        <f t="shared" si="41"/>
        <v>-3440.0823843757389</v>
      </c>
      <c r="AD58" s="12">
        <f t="shared" si="41"/>
        <v>-8712.3611939851544</v>
      </c>
      <c r="AE58" s="12">
        <f t="shared" si="41"/>
        <v>-18841.446973834798</v>
      </c>
      <c r="AF58" s="12">
        <f t="shared" si="41"/>
        <v>-12465.009898180637</v>
      </c>
      <c r="AG58" s="12">
        <f t="shared" si="41"/>
        <v>-12840.693808049662</v>
      </c>
      <c r="AH58" s="12">
        <f t="shared" si="41"/>
        <v>-19979.654507335654</v>
      </c>
      <c r="AI58" s="12">
        <f t="shared" si="41"/>
        <v>-12050.591698428208</v>
      </c>
      <c r="AJ58" s="12">
        <f t="shared" si="41"/>
        <v>-9332.1832408889313</v>
      </c>
      <c r="AK58" s="12">
        <f t="shared" si="41"/>
        <v>-1790.1270719111199</v>
      </c>
      <c r="AL58" s="12">
        <f t="shared" si="41"/>
        <v>-9965.5372487088898</v>
      </c>
      <c r="AM58" s="12">
        <f t="shared" si="41"/>
        <v>-11183.395179926592</v>
      </c>
      <c r="AN58" s="12">
        <f t="shared" si="41"/>
        <v>-10848.110309424752</v>
      </c>
      <c r="AO58" s="12">
        <f t="shared" si="41"/>
        <v>-11731.710817160376</v>
      </c>
      <c r="AP58" s="12">
        <f t="shared" si="41"/>
        <v>-11266.083837589424</v>
      </c>
      <c r="AQ58" s="12">
        <f t="shared" si="41"/>
        <v>-256797.58019602913</v>
      </c>
      <c r="AR58" s="12">
        <f t="shared" si="41"/>
        <v>-207406.03857592985</v>
      </c>
      <c r="AS58" s="12">
        <f t="shared" si="41"/>
        <v>-224592.15080501558</v>
      </c>
      <c r="AT58" s="12">
        <f t="shared" si="41"/>
        <v>54065.159864234098</v>
      </c>
      <c r="AU58" s="12">
        <f t="shared" si="41"/>
        <v>-52430.950495722645</v>
      </c>
      <c r="AV58" s="13">
        <f>SUM(D58:AU58)</f>
        <v>-294458.29494141554</v>
      </c>
    </row>
    <row r="59" spans="2:50" x14ac:dyDescent="0.3">
      <c r="B59" s="1" t="s">
        <v>26</v>
      </c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5" t="s">
        <v>71</v>
      </c>
    </row>
    <row r="60" spans="2:50" x14ac:dyDescent="0.3"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6" t="s">
        <v>54</v>
      </c>
      <c r="AV60" s="17"/>
      <c r="AW60" s="17"/>
      <c r="AX60" s="18"/>
    </row>
    <row r="61" spans="2:50" x14ac:dyDescent="0.3">
      <c r="B61" s="2" t="s">
        <v>76</v>
      </c>
      <c r="C61" s="3">
        <v>100000</v>
      </c>
      <c r="D61" s="3">
        <f>+Mortgage!C17</f>
        <v>96499.300430896095</v>
      </c>
      <c r="E61" s="3">
        <f>+Mortgage!C30</f>
        <v>92051.75917609148</v>
      </c>
      <c r="F61" s="3">
        <f>+Mortgage!C42</f>
        <v>87625.548487638021</v>
      </c>
      <c r="G61" s="3">
        <f>+Mortgage!C54</f>
        <v>82867.651169454912</v>
      </c>
      <c r="H61" s="3">
        <f>+Mortgage!C66</f>
        <v>77753.211644597177</v>
      </c>
      <c r="I61" s="3">
        <f>+Mortgage!C77</f>
        <v>72728.978850389278</v>
      </c>
      <c r="J61" s="3">
        <f>Mortgage!C80</f>
        <v>71299.981008915274</v>
      </c>
      <c r="K61" s="3">
        <f>Mortgage!C102</f>
        <v>59993.297127094324</v>
      </c>
      <c r="L61" s="3">
        <f>+Mortgage!C114</f>
        <v>53164.72379036311</v>
      </c>
      <c r="M61" s="3">
        <f>+Mortgage!C126</f>
        <v>45824.438148153356</v>
      </c>
      <c r="N61" s="3">
        <f>+Mortgage!C137</f>
        <v>38613.61794719116</v>
      </c>
      <c r="O61" s="3">
        <f>+Mortgage!C150</f>
        <v>29452.471812915199</v>
      </c>
      <c r="P61" s="3">
        <f>+Mortgage!C162</f>
        <v>20335.262861966945</v>
      </c>
      <c r="Q61" s="3">
        <f>+Mortgage!C174</f>
        <v>10534.8382843044</v>
      </c>
      <c r="R61" s="3">
        <f>+Mortgage!C186</f>
        <v>4.3883119360543787E-11</v>
      </c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9">
        <f>250000*11.467</f>
        <v>2866750</v>
      </c>
      <c r="AV61" s="20" t="s">
        <v>72</v>
      </c>
      <c r="AW61" s="20"/>
      <c r="AX61" s="21"/>
    </row>
    <row r="62" spans="2:50" x14ac:dyDescent="0.3">
      <c r="B62" s="2" t="s">
        <v>20</v>
      </c>
      <c r="C62" s="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22">
        <f>100000*11.467</f>
        <v>1146700</v>
      </c>
      <c r="AV62" s="23" t="s">
        <v>73</v>
      </c>
      <c r="AW62" s="24"/>
      <c r="AX62" s="25"/>
    </row>
    <row r="63" spans="2:50" x14ac:dyDescent="0.3">
      <c r="B63" s="2" t="s">
        <v>45</v>
      </c>
      <c r="C63" s="3">
        <v>20000</v>
      </c>
      <c r="D63" s="3">
        <f t="shared" ref="D63:AU63" si="42">+C63-D70-D71-D71+D58</f>
        <v>49491.99823486284</v>
      </c>
      <c r="E63" s="3">
        <f t="shared" si="42"/>
        <v>54671.99646972568</v>
      </c>
      <c r="F63" s="3">
        <f t="shared" si="42"/>
        <v>66652.113454588514</v>
      </c>
      <c r="G63" s="3">
        <f t="shared" si="42"/>
        <v>54946.427533201349</v>
      </c>
      <c r="H63" s="3">
        <f t="shared" si="42"/>
        <v>66733.151897907926</v>
      </c>
      <c r="I63" s="3">
        <f t="shared" si="42"/>
        <v>87083.450026460574</v>
      </c>
      <c r="J63" s="3">
        <f t="shared" si="42"/>
        <v>107865.85490112947</v>
      </c>
      <c r="K63" s="3">
        <f t="shared" si="42"/>
        <v>131540.64579239348</v>
      </c>
      <c r="L63" s="3">
        <f t="shared" si="42"/>
        <v>156649.42406774146</v>
      </c>
      <c r="M63" s="3">
        <f t="shared" si="42"/>
        <v>181792.71727432558</v>
      </c>
      <c r="N63" s="3">
        <f t="shared" si="42"/>
        <v>173276.59863639888</v>
      </c>
      <c r="O63" s="3">
        <f t="shared" si="42"/>
        <v>196842.90958909638</v>
      </c>
      <c r="P63" s="3">
        <f t="shared" si="42"/>
        <v>226588.92067268147</v>
      </c>
      <c r="Q63" s="3">
        <f t="shared" si="42"/>
        <v>257150.10935793715</v>
      </c>
      <c r="R63" s="3">
        <f t="shared" si="42"/>
        <v>282890.70681879332</v>
      </c>
      <c r="S63" s="3">
        <f t="shared" si="42"/>
        <v>323166.97469244024</v>
      </c>
      <c r="T63" s="3">
        <f t="shared" si="42"/>
        <v>359351.44926292822</v>
      </c>
      <c r="U63" s="3">
        <f t="shared" si="42"/>
        <v>367000.91694767843</v>
      </c>
      <c r="V63" s="3">
        <f t="shared" si="42"/>
        <v>424395.17757454736</v>
      </c>
      <c r="W63" s="3">
        <f t="shared" si="42"/>
        <v>410268.71946711693</v>
      </c>
      <c r="X63" s="3">
        <f t="shared" si="42"/>
        <v>426134.31772397016</v>
      </c>
      <c r="Y63" s="3">
        <f t="shared" si="42"/>
        <v>437454.96668724483</v>
      </c>
      <c r="Z63" s="3">
        <f t="shared" si="42"/>
        <v>454242.04262460128</v>
      </c>
      <c r="AA63" s="3">
        <f t="shared" si="42"/>
        <v>433507.2062103916</v>
      </c>
      <c r="AB63" s="3">
        <f t="shared" si="42"/>
        <v>371150.25343684736</v>
      </c>
      <c r="AC63" s="3">
        <f t="shared" si="42"/>
        <v>367710.17105247162</v>
      </c>
      <c r="AD63" s="3">
        <f t="shared" si="42"/>
        <v>358997.80985848646</v>
      </c>
      <c r="AE63" s="3">
        <f t="shared" si="42"/>
        <v>340156.36288465164</v>
      </c>
      <c r="AF63" s="3">
        <f t="shared" si="42"/>
        <v>327691.35298647103</v>
      </c>
      <c r="AG63" s="3">
        <f t="shared" si="42"/>
        <v>314850.65917842137</v>
      </c>
      <c r="AH63" s="3">
        <f t="shared" si="42"/>
        <v>244871.00467108571</v>
      </c>
      <c r="AI63" s="3">
        <f t="shared" si="42"/>
        <v>182820.4129726575</v>
      </c>
      <c r="AJ63" s="3">
        <f t="shared" si="42"/>
        <v>173488.22973176857</v>
      </c>
      <c r="AK63" s="3">
        <f t="shared" si="42"/>
        <v>171698.10265985745</v>
      </c>
      <c r="AL63" s="3">
        <f t="shared" si="42"/>
        <v>161732.56541114856</v>
      </c>
      <c r="AM63" s="3">
        <f t="shared" si="42"/>
        <v>150549.17023122197</v>
      </c>
      <c r="AN63" s="3">
        <f t="shared" si="42"/>
        <v>139701.05992179722</v>
      </c>
      <c r="AO63" s="3">
        <f t="shared" si="42"/>
        <v>127969.34910463684</v>
      </c>
      <c r="AP63" s="3">
        <f t="shared" si="42"/>
        <v>66703.26526704742</v>
      </c>
      <c r="AQ63" s="3">
        <f t="shared" si="42"/>
        <v>-190094.31492898171</v>
      </c>
      <c r="AR63" s="3">
        <f t="shared" si="42"/>
        <v>-397500.35350491153</v>
      </c>
      <c r="AS63" s="3">
        <f t="shared" si="42"/>
        <v>-622092.50430992711</v>
      </c>
      <c r="AT63" s="3">
        <f t="shared" si="42"/>
        <v>-568027.34444569307</v>
      </c>
      <c r="AU63" s="26">
        <f t="shared" si="42"/>
        <v>-620458.29494141578</v>
      </c>
      <c r="AV63" s="27"/>
    </row>
    <row r="64" spans="2:50" x14ac:dyDescent="0.3">
      <c r="B64" s="2" t="s">
        <v>55</v>
      </c>
      <c r="C64" s="3">
        <v>58000</v>
      </c>
      <c r="D64" s="3">
        <f t="shared" ref="D64:AS64" si="43">+(C64*(1+D8))+D36</f>
        <v>71040</v>
      </c>
      <c r="E64" s="3">
        <f t="shared" si="43"/>
        <v>85685.700000000012</v>
      </c>
      <c r="F64" s="3">
        <f t="shared" si="43"/>
        <v>101849.55600000001</v>
      </c>
      <c r="G64" s="3">
        <f t="shared" si="43"/>
        <v>119666.88048000002</v>
      </c>
      <c r="H64" s="3">
        <f t="shared" si="43"/>
        <v>139284.36531840003</v>
      </c>
      <c r="I64" s="3">
        <f t="shared" si="43"/>
        <v>160861.01431987205</v>
      </c>
      <c r="J64" s="3">
        <f t="shared" si="43"/>
        <v>184569.15123250184</v>
      </c>
      <c r="K64" s="3">
        <f t="shared" si="43"/>
        <v>210595.50932882359</v>
      </c>
      <c r="L64" s="3">
        <f t="shared" si="43"/>
        <v>239142.40911275995</v>
      </c>
      <c r="M64" s="3">
        <f t="shared" si="43"/>
        <v>270429.03124091646</v>
      </c>
      <c r="N64" s="3">
        <f t="shared" si="43"/>
        <v>304692.79231529089</v>
      </c>
      <c r="O64" s="3">
        <f t="shared" si="43"/>
        <v>342190.83181861939</v>
      </c>
      <c r="P64" s="3">
        <f t="shared" si="43"/>
        <v>383201.61912693828</v>
      </c>
      <c r="Q64" s="3">
        <f t="shared" si="43"/>
        <v>427826.65743899345</v>
      </c>
      <c r="R64" s="3">
        <f t="shared" si="43"/>
        <v>476363.42153556057</v>
      </c>
      <c r="S64" s="3">
        <f t="shared" si="43"/>
        <v>529133.39254738926</v>
      </c>
      <c r="T64" s="3">
        <f t="shared" si="43"/>
        <v>586483.98367238883</v>
      </c>
      <c r="U64" s="3">
        <f t="shared" si="43"/>
        <v>648790.62008041865</v>
      </c>
      <c r="V64" s="3">
        <f t="shared" si="43"/>
        <v>716458.98534394673</v>
      </c>
      <c r="W64" s="3">
        <f t="shared" si="43"/>
        <v>789927.44771998446</v>
      </c>
      <c r="X64" s="3">
        <f t="shared" si="43"/>
        <v>869669.68067481823</v>
      </c>
      <c r="Y64" s="3">
        <f t="shared" si="43"/>
        <v>956197.4931944696</v>
      </c>
      <c r="Z64" s="3">
        <f t="shared" si="43"/>
        <v>1050063.8866673347</v>
      </c>
      <c r="AA64" s="3">
        <f t="shared" si="43"/>
        <v>1151866.3564684619</v>
      </c>
      <c r="AB64" s="3">
        <f t="shared" si="43"/>
        <v>1262250.4578253727</v>
      </c>
      <c r="AC64" s="3">
        <f t="shared" si="43"/>
        <v>1381913.6571118222</v>
      </c>
      <c r="AD64" s="3">
        <f t="shared" si="43"/>
        <v>1511609.491407698</v>
      </c>
      <c r="AE64" s="3">
        <f t="shared" si="43"/>
        <v>1652152.0609904171</v>
      </c>
      <c r="AF64" s="3">
        <f t="shared" si="43"/>
        <v>1804420.8813965064</v>
      </c>
      <c r="AG64" s="3">
        <f t="shared" si="43"/>
        <v>1969366.1238232544</v>
      </c>
      <c r="AH64" s="3">
        <f t="shared" si="43"/>
        <v>2126915.4137291149</v>
      </c>
      <c r="AI64" s="3">
        <f t="shared" si="43"/>
        <v>2297068.6468274444</v>
      </c>
      <c r="AJ64" s="3">
        <f t="shared" si="43"/>
        <v>2480834.13857364</v>
      </c>
      <c r="AK64" s="3">
        <f t="shared" si="43"/>
        <v>2679300.8696595314</v>
      </c>
      <c r="AL64" s="3">
        <f t="shared" si="43"/>
        <v>2893644.939232294</v>
      </c>
      <c r="AM64" s="3">
        <f t="shared" si="43"/>
        <v>3125136.5343708778</v>
      </c>
      <c r="AN64" s="3">
        <f t="shared" si="43"/>
        <v>3375147.457120548</v>
      </c>
      <c r="AO64" s="3">
        <f t="shared" si="43"/>
        <v>3645159.253690192</v>
      </c>
      <c r="AP64" s="3">
        <f t="shared" si="43"/>
        <v>3936771.9939854075</v>
      </c>
      <c r="AQ64" s="3">
        <f t="shared" si="43"/>
        <v>4251713.75350424</v>
      </c>
      <c r="AR64" s="3">
        <f t="shared" si="43"/>
        <v>4591850.8537845798</v>
      </c>
      <c r="AS64" s="3">
        <f t="shared" si="43"/>
        <v>4959198.9220873462</v>
      </c>
      <c r="AT64" s="3">
        <f>(+AS64*(1+AT8)+AT36)-AT27</f>
        <v>4955934.8358543338</v>
      </c>
      <c r="AU64" s="28">
        <f>(+AT64*(1+AU8)+AU36)-AU27</f>
        <v>4942409.6227226807</v>
      </c>
      <c r="AV64" s="29"/>
    </row>
    <row r="65" spans="2:62" x14ac:dyDescent="0.3">
      <c r="B65" s="2" t="s">
        <v>56</v>
      </c>
      <c r="C65" s="3">
        <v>72000</v>
      </c>
      <c r="D65" s="3">
        <f t="shared" ref="D65:AG65" si="44">+C65*(1+D9)+D37</f>
        <v>94935</v>
      </c>
      <c r="E65" s="3">
        <f t="shared" si="44"/>
        <v>119629.8</v>
      </c>
      <c r="F65" s="3">
        <f t="shared" si="44"/>
        <v>146759.55900000001</v>
      </c>
      <c r="G65" s="3">
        <f t="shared" si="44"/>
        <v>176528.68309500001</v>
      </c>
      <c r="H65" s="3">
        <f t="shared" si="44"/>
        <v>207210.04610197502</v>
      </c>
      <c r="I65" s="3">
        <f t="shared" si="44"/>
        <v>240759.8554834924</v>
      </c>
      <c r="J65" s="3">
        <f t="shared" si="44"/>
        <v>279516.04519536515</v>
      </c>
      <c r="K65" s="3">
        <f t="shared" si="44"/>
        <v>321882.61511601758</v>
      </c>
      <c r="L65" s="3">
        <f t="shared" si="44"/>
        <v>368159.26778794779</v>
      </c>
      <c r="M65" s="3">
        <f t="shared" si="44"/>
        <v>418594.95376019861</v>
      </c>
      <c r="N65" s="3">
        <f t="shared" si="44"/>
        <v>473533.81822395988</v>
      </c>
      <c r="O65" s="3">
        <f t="shared" si="44"/>
        <v>533497.82354889566</v>
      </c>
      <c r="P65" s="3">
        <f t="shared" si="44"/>
        <v>598750.98179650179</v>
      </c>
      <c r="Q65" s="3">
        <f t="shared" si="44"/>
        <v>657753.70637707866</v>
      </c>
      <c r="R65" s="3">
        <f t="shared" si="44"/>
        <v>720813.53607430984</v>
      </c>
      <c r="S65" s="3">
        <f t="shared" si="44"/>
        <v>788261.82073624013</v>
      </c>
      <c r="T65" s="3">
        <f t="shared" si="44"/>
        <v>860300.11429032299</v>
      </c>
      <c r="U65" s="3">
        <f t="shared" si="44"/>
        <v>937292.39506539854</v>
      </c>
      <c r="V65" s="3">
        <f t="shared" si="44"/>
        <v>1019474.81953492</v>
      </c>
      <c r="W65" s="3">
        <f t="shared" si="44"/>
        <v>1091893.3087070154</v>
      </c>
      <c r="X65" s="3">
        <f t="shared" si="44"/>
        <v>1168938.1572294363</v>
      </c>
      <c r="Y65" s="3">
        <f t="shared" si="44"/>
        <v>1250893.9779132025</v>
      </c>
      <c r="Z65" s="3">
        <f t="shared" si="44"/>
        <v>1338062.6361192446</v>
      </c>
      <c r="AA65" s="3">
        <f t="shared" si="44"/>
        <v>1430764.2893059307</v>
      </c>
      <c r="AB65" s="3">
        <f t="shared" si="44"/>
        <v>1520360.1466642867</v>
      </c>
      <c r="AC65" s="3">
        <f t="shared" si="44"/>
        <v>1615331.7554641441</v>
      </c>
      <c r="AD65" s="3">
        <f t="shared" si="44"/>
        <v>1716001.6607919927</v>
      </c>
      <c r="AE65" s="3">
        <f t="shared" si="44"/>
        <v>1818961.7604395123</v>
      </c>
      <c r="AF65" s="3">
        <f t="shared" si="44"/>
        <v>1928099.4660658832</v>
      </c>
      <c r="AG65" s="3">
        <f t="shared" si="44"/>
        <v>2043785.4340298362</v>
      </c>
      <c r="AH65" s="3">
        <f t="shared" ref="AH65:AS65" si="45">(+AG65*(1+AH9)+AH37)-AH27</f>
        <v>2086412.5600716267</v>
      </c>
      <c r="AI65" s="3">
        <f t="shared" si="45"/>
        <v>2131597.3136759242</v>
      </c>
      <c r="AJ65" s="3">
        <f t="shared" si="45"/>
        <v>2179493.1524964799</v>
      </c>
      <c r="AK65" s="3">
        <f t="shared" si="45"/>
        <v>2160262.7416462689</v>
      </c>
      <c r="AL65" s="3">
        <f t="shared" si="45"/>
        <v>2139878.5061450452</v>
      </c>
      <c r="AM65" s="3">
        <f t="shared" si="45"/>
        <v>2118271.2165137478</v>
      </c>
      <c r="AN65" s="3">
        <f t="shared" si="45"/>
        <v>2095367.4895045729</v>
      </c>
      <c r="AO65" s="3">
        <f t="shared" si="45"/>
        <v>2051089.5388748473</v>
      </c>
      <c r="AP65" s="3">
        <f t="shared" si="45"/>
        <v>1924154.9112073383</v>
      </c>
      <c r="AQ65" s="3">
        <f t="shared" si="45"/>
        <v>2039601.6808797789</v>
      </c>
      <c r="AR65" s="3">
        <f t="shared" si="45"/>
        <v>2161975.2317325659</v>
      </c>
      <c r="AS65" s="3">
        <f t="shared" si="45"/>
        <v>2291691.1706365198</v>
      </c>
      <c r="AT65" s="3">
        <f>(+AS65*(1+AT9)+AT37)</f>
        <v>2429192.6408747113</v>
      </c>
      <c r="AU65" s="28">
        <f>(+AT65*(1+AU9)+AU37)-AU27</f>
        <v>2164944.1993271941</v>
      </c>
      <c r="AV65" s="29"/>
    </row>
    <row r="66" spans="2:62" x14ac:dyDescent="0.3">
      <c r="B66" s="2" t="s">
        <v>4</v>
      </c>
      <c r="C66" s="3">
        <v>4000</v>
      </c>
      <c r="D66" s="3">
        <f t="shared" ref="D66:AA66" si="46">(+C66*(1+D10))+D38</f>
        <v>7320</v>
      </c>
      <c r="E66" s="3">
        <f t="shared" si="46"/>
        <v>11905.6</v>
      </c>
      <c r="F66" s="3">
        <f t="shared" si="46"/>
        <v>16858.048000000003</v>
      </c>
      <c r="G66" s="3">
        <f t="shared" si="46"/>
        <v>22206.691840000003</v>
      </c>
      <c r="H66" s="3">
        <f t="shared" si="46"/>
        <v>27983.227187200006</v>
      </c>
      <c r="I66" s="3">
        <f t="shared" si="46"/>
        <v>30221.885362176006</v>
      </c>
      <c r="J66" s="3">
        <f t="shared" si="46"/>
        <v>32639.63619115009</v>
      </c>
      <c r="K66" s="3">
        <f t="shared" si="46"/>
        <v>35250.807086442102</v>
      </c>
      <c r="L66" s="3">
        <f t="shared" si="46"/>
        <v>38070.87165335747</v>
      </c>
      <c r="M66" s="3">
        <f t="shared" si="46"/>
        <v>41116.541385626071</v>
      </c>
      <c r="N66" s="3">
        <f t="shared" si="46"/>
        <v>44405.864696476157</v>
      </c>
      <c r="O66" s="3">
        <f t="shared" si="46"/>
        <v>47958.333872194256</v>
      </c>
      <c r="P66" s="3">
        <f t="shared" si="46"/>
        <v>51795.000581969798</v>
      </c>
      <c r="Q66" s="3">
        <f t="shared" si="46"/>
        <v>54902.700616887989</v>
      </c>
      <c r="R66" s="3">
        <f t="shared" si="46"/>
        <v>58196.862653901269</v>
      </c>
      <c r="S66" s="3">
        <f t="shared" si="46"/>
        <v>61688.674413135348</v>
      </c>
      <c r="T66" s="3">
        <f t="shared" si="46"/>
        <v>65389.994877923469</v>
      </c>
      <c r="U66" s="3">
        <f t="shared" si="46"/>
        <v>69313.394570598874</v>
      </c>
      <c r="V66" s="3">
        <f t="shared" si="46"/>
        <v>73472.198244834814</v>
      </c>
      <c r="W66" s="3">
        <f t="shared" si="46"/>
        <v>77880.530139524912</v>
      </c>
      <c r="X66" s="3">
        <f t="shared" si="46"/>
        <v>82553.36194789641</v>
      </c>
      <c r="Y66" s="3">
        <f t="shared" si="46"/>
        <v>87506.563664770205</v>
      </c>
      <c r="Z66" s="3">
        <f t="shared" si="46"/>
        <v>92756.957484656421</v>
      </c>
      <c r="AA66" s="3">
        <f t="shared" si="46"/>
        <v>98322.374933735817</v>
      </c>
      <c r="AB66" s="3">
        <f t="shared" ref="AB66:AK66" si="47">((+AA66*(1+AB10))+AB38)-AB29</f>
        <v>106221.71742975997</v>
      </c>
      <c r="AC66" s="3">
        <f t="shared" si="47"/>
        <v>114595.02047554558</v>
      </c>
      <c r="AD66" s="3">
        <f t="shared" si="47"/>
        <v>123470.72170407831</v>
      </c>
      <c r="AE66" s="3">
        <f t="shared" si="47"/>
        <v>132878.96500632301</v>
      </c>
      <c r="AF66" s="3">
        <f t="shared" si="47"/>
        <v>142851.70290670238</v>
      </c>
      <c r="AG66" s="3">
        <f t="shared" si="47"/>
        <v>143422.80508110454</v>
      </c>
      <c r="AH66" s="3">
        <f t="shared" si="47"/>
        <v>102028.17338597082</v>
      </c>
      <c r="AI66" s="3">
        <f t="shared" si="47"/>
        <v>58149.863789129071</v>
      </c>
      <c r="AJ66" s="3">
        <f t="shared" si="47"/>
        <v>20973.855616476816</v>
      </c>
      <c r="AK66" s="3">
        <f t="shared" si="47"/>
        <v>-27767.713046534573</v>
      </c>
      <c r="AL66" s="3"/>
      <c r="AM66" s="3"/>
      <c r="AN66" s="3"/>
      <c r="AO66" s="3"/>
      <c r="AP66" s="3"/>
      <c r="AQ66" s="3"/>
      <c r="AR66" s="3"/>
      <c r="AS66" s="3"/>
      <c r="AT66" s="3"/>
      <c r="AU66" s="28"/>
      <c r="AV66" s="29"/>
    </row>
    <row r="67" spans="2:62" x14ac:dyDescent="0.3">
      <c r="B67" s="2" t="s">
        <v>17</v>
      </c>
      <c r="C67" s="30">
        <v>0</v>
      </c>
      <c r="D67" s="3">
        <f t="shared" ref="D67:AA67" si="48">(+C67*(1+D11))+D39</f>
        <v>0</v>
      </c>
      <c r="E67" s="3">
        <f t="shared" si="48"/>
        <v>0</v>
      </c>
      <c r="F67" s="3">
        <f t="shared" si="48"/>
        <v>0</v>
      </c>
      <c r="G67" s="3">
        <f t="shared" si="48"/>
        <v>0</v>
      </c>
      <c r="H67" s="3">
        <f t="shared" si="48"/>
        <v>0</v>
      </c>
      <c r="I67" s="3">
        <f t="shared" si="48"/>
        <v>0</v>
      </c>
      <c r="J67" s="3">
        <f t="shared" si="48"/>
        <v>4000</v>
      </c>
      <c r="K67" s="3">
        <f t="shared" si="48"/>
        <v>8320</v>
      </c>
      <c r="L67" s="3">
        <f t="shared" si="48"/>
        <v>12985.6</v>
      </c>
      <c r="M67" s="3">
        <f t="shared" si="48"/>
        <v>18024.448000000004</v>
      </c>
      <c r="N67" s="3">
        <f t="shared" si="48"/>
        <v>23466.403840000006</v>
      </c>
      <c r="O67" s="3">
        <f t="shared" si="48"/>
        <v>29343.716147200008</v>
      </c>
      <c r="P67" s="3">
        <f t="shared" si="48"/>
        <v>35691.21343897601</v>
      </c>
      <c r="Q67" s="3">
        <f t="shared" si="48"/>
        <v>41832.686245314573</v>
      </c>
      <c r="R67" s="3">
        <f t="shared" si="48"/>
        <v>48342.647420033449</v>
      </c>
      <c r="S67" s="3">
        <f t="shared" si="48"/>
        <v>55243.206265235458</v>
      </c>
      <c r="T67" s="3">
        <f t="shared" si="48"/>
        <v>62557.798641149588</v>
      </c>
      <c r="U67" s="3">
        <f t="shared" si="48"/>
        <v>70311.266559618569</v>
      </c>
      <c r="V67" s="3">
        <f t="shared" si="48"/>
        <v>78529.94255319568</v>
      </c>
      <c r="W67" s="3">
        <f t="shared" si="48"/>
        <v>87241.739106387424</v>
      </c>
      <c r="X67" s="3">
        <f t="shared" si="48"/>
        <v>96476.243452770679</v>
      </c>
      <c r="Y67" s="3">
        <f t="shared" si="48"/>
        <v>106264.81805993692</v>
      </c>
      <c r="Z67" s="3">
        <f t="shared" si="48"/>
        <v>116640.70714353315</v>
      </c>
      <c r="AA67" s="3">
        <f t="shared" si="48"/>
        <v>125639.14957214514</v>
      </c>
      <c r="AB67" s="3">
        <f t="shared" ref="AB67:AG67" si="49">(+AA67*(1+AB11))+AB39</f>
        <v>133177.49854647386</v>
      </c>
      <c r="AC67" s="3">
        <f t="shared" si="49"/>
        <v>141168.1484592623</v>
      </c>
      <c r="AD67" s="3">
        <f t="shared" si="49"/>
        <v>149638.23736681804</v>
      </c>
      <c r="AE67" s="3">
        <f t="shared" si="49"/>
        <v>158616.53160882712</v>
      </c>
      <c r="AF67" s="3">
        <f t="shared" si="49"/>
        <v>168133.52350535674</v>
      </c>
      <c r="AG67" s="3">
        <f t="shared" si="49"/>
        <v>178221.53491567814</v>
      </c>
      <c r="AH67" s="3">
        <f t="shared" ref="AH67:AO67" si="50">((+AG67*(1+AH11))+AH39)-AH28</f>
        <v>173914.82701061884</v>
      </c>
      <c r="AI67" s="3">
        <f t="shared" si="50"/>
        <v>164349.71663125599</v>
      </c>
      <c r="AJ67" s="3">
        <f t="shared" si="50"/>
        <v>154210.69962913136</v>
      </c>
      <c r="AK67" s="3">
        <f t="shared" si="50"/>
        <v>158463.34160687926</v>
      </c>
      <c r="AL67" s="3">
        <f t="shared" si="50"/>
        <v>132971.14210329202</v>
      </c>
      <c r="AM67" s="3">
        <f t="shared" si="50"/>
        <v>100949.41062948955</v>
      </c>
      <c r="AN67" s="3">
        <f t="shared" si="50"/>
        <v>42006.375267258918</v>
      </c>
      <c r="AO67" s="3">
        <f t="shared" si="50"/>
        <v>-3756.2422167055411</v>
      </c>
      <c r="AP67" s="3"/>
      <c r="AQ67" s="3"/>
      <c r="AR67" s="3"/>
      <c r="AS67" s="3"/>
      <c r="AT67" s="3"/>
      <c r="AU67" s="28"/>
      <c r="AV67" s="29"/>
    </row>
    <row r="68" spans="2:62" x14ac:dyDescent="0.3">
      <c r="B68" s="2" t="s">
        <v>24</v>
      </c>
      <c r="C68" s="13"/>
      <c r="D68" s="12"/>
      <c r="E68" s="13"/>
      <c r="F68" s="13"/>
      <c r="G68" s="13">
        <v>7500</v>
      </c>
      <c r="H68" s="13">
        <f t="shared" ref="H68:R68" si="51">+G68*1.08</f>
        <v>8100.0000000000009</v>
      </c>
      <c r="I68" s="13">
        <f t="shared" si="51"/>
        <v>8748.0000000000018</v>
      </c>
      <c r="J68" s="13">
        <f t="shared" si="51"/>
        <v>9447.840000000002</v>
      </c>
      <c r="K68" s="13">
        <f t="shared" si="51"/>
        <v>10203.667200000004</v>
      </c>
      <c r="L68" s="13">
        <f t="shared" si="51"/>
        <v>11019.960576000005</v>
      </c>
      <c r="M68" s="13">
        <f t="shared" si="51"/>
        <v>11901.557422080006</v>
      </c>
      <c r="N68" s="13">
        <f t="shared" si="51"/>
        <v>12853.682015846407</v>
      </c>
      <c r="O68" s="13">
        <f t="shared" si="51"/>
        <v>13881.976577114121</v>
      </c>
      <c r="P68" s="13">
        <f t="shared" si="51"/>
        <v>14992.534703283252</v>
      </c>
      <c r="Q68" s="13">
        <f t="shared" si="51"/>
        <v>16191.937479545913</v>
      </c>
      <c r="R68" s="13">
        <f t="shared" si="51"/>
        <v>17487.292477909588</v>
      </c>
      <c r="S68" s="13">
        <f>(+R68*1.08)+20000</f>
        <v>38886.275876142361</v>
      </c>
      <c r="T68" s="13">
        <f t="shared" ref="T68:AU68" si="52">+S68*1.08</f>
        <v>41997.177946233751</v>
      </c>
      <c r="U68" s="13">
        <f t="shared" si="52"/>
        <v>45356.952181932451</v>
      </c>
      <c r="V68" s="13">
        <f t="shared" si="52"/>
        <v>48985.508356487051</v>
      </c>
      <c r="W68" s="13">
        <f t="shared" si="52"/>
        <v>52904.34902500602</v>
      </c>
      <c r="X68" s="13">
        <f t="shared" si="52"/>
        <v>57136.696947006509</v>
      </c>
      <c r="Y68" s="13">
        <f t="shared" si="52"/>
        <v>61707.632702767034</v>
      </c>
      <c r="Z68" s="13">
        <f t="shared" si="52"/>
        <v>66644.243318988403</v>
      </c>
      <c r="AA68" s="13">
        <f t="shared" si="52"/>
        <v>71975.782784507479</v>
      </c>
      <c r="AB68" s="13">
        <f t="shared" si="52"/>
        <v>77733.845407268076</v>
      </c>
      <c r="AC68" s="13">
        <f t="shared" si="52"/>
        <v>83952.553039849532</v>
      </c>
      <c r="AD68" s="13">
        <f t="shared" si="52"/>
        <v>90668.757283037499</v>
      </c>
      <c r="AE68" s="13">
        <f t="shared" si="52"/>
        <v>97922.257865680513</v>
      </c>
      <c r="AF68" s="13">
        <f t="shared" si="52"/>
        <v>105756.03849493495</v>
      </c>
      <c r="AG68" s="13">
        <f t="shared" si="52"/>
        <v>114216.52157452976</v>
      </c>
      <c r="AH68" s="13">
        <f t="shared" si="52"/>
        <v>123353.84330049215</v>
      </c>
      <c r="AI68" s="13">
        <f t="shared" si="52"/>
        <v>133222.15076453154</v>
      </c>
      <c r="AJ68" s="13">
        <f t="shared" si="52"/>
        <v>143879.92282569408</v>
      </c>
      <c r="AK68" s="13">
        <f t="shared" si="52"/>
        <v>155390.31665174963</v>
      </c>
      <c r="AL68" s="13">
        <f t="shared" si="52"/>
        <v>167821.54198388962</v>
      </c>
      <c r="AM68" s="13">
        <f t="shared" si="52"/>
        <v>181247.26534260079</v>
      </c>
      <c r="AN68" s="13">
        <f t="shared" si="52"/>
        <v>195747.04657000885</v>
      </c>
      <c r="AO68" s="13">
        <f t="shared" si="52"/>
        <v>211406.81029560958</v>
      </c>
      <c r="AP68" s="13">
        <f t="shared" si="52"/>
        <v>228319.35511925837</v>
      </c>
      <c r="AQ68" s="13">
        <f t="shared" si="52"/>
        <v>246584.90352879904</v>
      </c>
      <c r="AR68" s="13">
        <f t="shared" si="52"/>
        <v>266311.69581110298</v>
      </c>
      <c r="AS68" s="13">
        <f t="shared" si="52"/>
        <v>287616.63147599122</v>
      </c>
      <c r="AT68" s="13">
        <f t="shared" si="52"/>
        <v>310625.96199407056</v>
      </c>
      <c r="AU68" s="31">
        <f t="shared" si="52"/>
        <v>335476.0389535962</v>
      </c>
      <c r="AV68" s="29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2:62" x14ac:dyDescent="0.3">
      <c r="B69" s="2" t="s">
        <v>16</v>
      </c>
      <c r="C69" s="13"/>
      <c r="D69" s="12"/>
      <c r="E69" s="12">
        <v>45000</v>
      </c>
      <c r="F69" s="13">
        <f>+E69*(1+0.08)</f>
        <v>48600</v>
      </c>
      <c r="G69" s="13">
        <f t="shared" ref="G69:AU69" si="53">+F69*(1+0.08)</f>
        <v>52488</v>
      </c>
      <c r="H69" s="13">
        <f t="shared" si="53"/>
        <v>56687.040000000001</v>
      </c>
      <c r="I69" s="13">
        <f t="shared" si="53"/>
        <v>61222.003200000006</v>
      </c>
      <c r="J69" s="13">
        <f t="shared" si="53"/>
        <v>66119.763456000015</v>
      </c>
      <c r="K69" s="13">
        <f t="shared" si="53"/>
        <v>71409.344532480027</v>
      </c>
      <c r="L69" s="13">
        <f t="shared" si="53"/>
        <v>77122.092095078435</v>
      </c>
      <c r="M69" s="13">
        <f t="shared" si="53"/>
        <v>83291.859462684719</v>
      </c>
      <c r="N69" s="13">
        <f t="shared" si="53"/>
        <v>89955.208219699503</v>
      </c>
      <c r="O69" s="13">
        <f t="shared" si="53"/>
        <v>97151.624877275477</v>
      </c>
      <c r="P69" s="13">
        <f t="shared" si="53"/>
        <v>104923.75486745752</v>
      </c>
      <c r="Q69" s="13">
        <f t="shared" si="53"/>
        <v>113317.65525685414</v>
      </c>
      <c r="R69" s="13">
        <f t="shared" si="53"/>
        <v>122383.06767740248</v>
      </c>
      <c r="S69" s="13">
        <f t="shared" si="53"/>
        <v>132173.71309159469</v>
      </c>
      <c r="T69" s="13">
        <f t="shared" si="53"/>
        <v>142747.61013892229</v>
      </c>
      <c r="U69" s="13">
        <f t="shared" si="53"/>
        <v>154167.41895003608</v>
      </c>
      <c r="V69" s="13">
        <f t="shared" si="53"/>
        <v>166500.81246603897</v>
      </c>
      <c r="W69" s="13">
        <f t="shared" si="53"/>
        <v>179820.8774633221</v>
      </c>
      <c r="X69" s="13">
        <f t="shared" si="53"/>
        <v>194206.54766038788</v>
      </c>
      <c r="Y69" s="13">
        <f t="shared" si="53"/>
        <v>209743.07147321891</v>
      </c>
      <c r="Z69" s="13">
        <f t="shared" si="53"/>
        <v>226522.51719107645</v>
      </c>
      <c r="AA69" s="13">
        <f t="shared" si="53"/>
        <v>244644.31856636258</v>
      </c>
      <c r="AB69" s="13">
        <f t="shared" si="53"/>
        <v>264215.86405167158</v>
      </c>
      <c r="AC69" s="13">
        <f t="shared" si="53"/>
        <v>285353.13317580533</v>
      </c>
      <c r="AD69" s="13">
        <f t="shared" si="53"/>
        <v>308181.3838298698</v>
      </c>
      <c r="AE69" s="13">
        <f t="shared" si="53"/>
        <v>332835.89453625941</v>
      </c>
      <c r="AF69" s="13">
        <f t="shared" si="53"/>
        <v>359462.76609916019</v>
      </c>
      <c r="AG69" s="13">
        <f t="shared" si="53"/>
        <v>388219.78738709301</v>
      </c>
      <c r="AH69" s="13">
        <f t="shared" si="53"/>
        <v>419277.3703780605</v>
      </c>
      <c r="AI69" s="13">
        <f t="shared" si="53"/>
        <v>452819.56000830536</v>
      </c>
      <c r="AJ69" s="13">
        <f t="shared" si="53"/>
        <v>489045.12480896979</v>
      </c>
      <c r="AK69" s="13">
        <f>+AJ69*(1+0.08)</f>
        <v>528168.73479368736</v>
      </c>
      <c r="AL69" s="13">
        <f t="shared" si="53"/>
        <v>570422.2335771824</v>
      </c>
      <c r="AM69" s="13">
        <f t="shared" si="53"/>
        <v>616056.01226335706</v>
      </c>
      <c r="AN69" s="13">
        <f t="shared" si="53"/>
        <v>665340.49324442563</v>
      </c>
      <c r="AO69" s="13">
        <f t="shared" si="53"/>
        <v>718567.73270397971</v>
      </c>
      <c r="AP69" s="13">
        <f t="shared" si="53"/>
        <v>776053.15132029809</v>
      </c>
      <c r="AQ69" s="13">
        <f t="shared" si="53"/>
        <v>838137.40342592204</v>
      </c>
      <c r="AR69" s="13">
        <f t="shared" si="53"/>
        <v>905188.3956999958</v>
      </c>
      <c r="AS69" s="13">
        <f t="shared" si="53"/>
        <v>977603.46735599556</v>
      </c>
      <c r="AT69" s="13">
        <f t="shared" si="53"/>
        <v>1055811.7447444752</v>
      </c>
      <c r="AU69" s="31">
        <f t="shared" si="53"/>
        <v>1140276.6843240333</v>
      </c>
      <c r="AV69" s="29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2:62" x14ac:dyDescent="0.3">
      <c r="B70" s="2" t="s">
        <v>51</v>
      </c>
      <c r="G70" s="3">
        <v>30000</v>
      </c>
      <c r="I70" s="3"/>
      <c r="N70" s="3">
        <v>35000</v>
      </c>
      <c r="U70" s="3">
        <v>35000</v>
      </c>
      <c r="AA70" s="3">
        <v>40000</v>
      </c>
      <c r="AB70" s="3">
        <v>40000</v>
      </c>
      <c r="AH70" s="3">
        <v>50000</v>
      </c>
      <c r="AI70" s="3">
        <v>50000</v>
      </c>
      <c r="AO70" s="3"/>
      <c r="AP70" s="3">
        <v>50000</v>
      </c>
      <c r="AU70" s="32"/>
      <c r="AV70" s="33"/>
    </row>
    <row r="71" spans="2:62" x14ac:dyDescent="0.3">
      <c r="B71" s="2" t="s">
        <v>25</v>
      </c>
      <c r="D71" s="3">
        <f>+C63-12000</f>
        <v>8000</v>
      </c>
      <c r="AU71" s="34"/>
      <c r="AV71" s="33"/>
    </row>
    <row r="72" spans="2:62" x14ac:dyDescent="0.3">
      <c r="E72" s="3"/>
      <c r="F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28"/>
      <c r="AV72" s="35"/>
    </row>
    <row r="73" spans="2:62" x14ac:dyDescent="0.3">
      <c r="AU73" s="32"/>
      <c r="AV73" s="33"/>
    </row>
    <row r="74" spans="2:62" x14ac:dyDescent="0.3">
      <c r="AU74" s="36">
        <f>SUM(AU63:AU69)</f>
        <v>7962648.2503860882</v>
      </c>
      <c r="AV74" s="37" t="s">
        <v>53</v>
      </c>
    </row>
  </sheetData>
  <pageMargins left="0.75" right="0.75" top="1" bottom="1" header="0.5" footer="0.5"/>
  <pageSetup scale="1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3"/>
  <sheetViews>
    <sheetView topLeftCell="A22" workbookViewId="0">
      <selection activeCell="G13" sqref="G13"/>
    </sheetView>
  </sheetViews>
  <sheetFormatPr defaultColWidth="8.7265625" defaultRowHeight="13" x14ac:dyDescent="0.3"/>
  <cols>
    <col min="1" max="1" width="21.36328125" style="2" bestFit="1" customWidth="1"/>
    <col min="2" max="3" width="11.1796875" style="2" bestFit="1" customWidth="1"/>
    <col min="4" max="4" width="7.90625" style="2" bestFit="1" customWidth="1"/>
    <col min="5" max="6" width="11.81640625" style="2" bestFit="1" customWidth="1"/>
    <col min="7" max="7" width="9.08984375" style="2" bestFit="1" customWidth="1"/>
    <col min="8" max="16384" width="8.7265625" style="2"/>
  </cols>
  <sheetData>
    <row r="1" spans="1:7" x14ac:dyDescent="0.3">
      <c r="A1" s="2" t="s">
        <v>35</v>
      </c>
      <c r="D1" s="2" t="s">
        <v>38</v>
      </c>
      <c r="E1" s="38">
        <f>PMT(0.00604,180,100000,0,0)</f>
        <v>-912.75014709476329</v>
      </c>
      <c r="F1" s="39">
        <f>+E1*12</f>
        <v>-10953.00176513716</v>
      </c>
      <c r="G1" s="2" t="s">
        <v>39</v>
      </c>
    </row>
    <row r="2" spans="1:7" x14ac:dyDescent="0.3">
      <c r="E2" s="39">
        <f>+E1*180</f>
        <v>-164295.0264770574</v>
      </c>
      <c r="F2" s="2" t="s">
        <v>41</v>
      </c>
    </row>
    <row r="3" spans="1:7" x14ac:dyDescent="0.3">
      <c r="E3" s="40">
        <f>+E2+C6</f>
        <v>-64295.026477057399</v>
      </c>
      <c r="F3" s="2" t="s">
        <v>42</v>
      </c>
    </row>
    <row r="4" spans="1:7" x14ac:dyDescent="0.3">
      <c r="C4" s="41" t="s">
        <v>1</v>
      </c>
      <c r="E4" s="41" t="s">
        <v>31</v>
      </c>
    </row>
    <row r="5" spans="1:7" x14ac:dyDescent="0.3">
      <c r="A5" s="41" t="s">
        <v>30</v>
      </c>
      <c r="B5" s="41" t="s">
        <v>32</v>
      </c>
      <c r="C5" s="41" t="s">
        <v>33</v>
      </c>
      <c r="D5" s="2" t="s">
        <v>34</v>
      </c>
      <c r="E5" s="41" t="s">
        <v>36</v>
      </c>
    </row>
    <row r="6" spans="1:7" x14ac:dyDescent="0.3">
      <c r="A6" s="41"/>
      <c r="B6" s="41"/>
      <c r="C6" s="39">
        <v>100000</v>
      </c>
      <c r="E6" s="41"/>
    </row>
    <row r="7" spans="1:7" x14ac:dyDescent="0.3">
      <c r="A7" s="2">
        <v>1</v>
      </c>
      <c r="B7" s="42">
        <f>PPMT(0.00604,A7,180,100000,0)</f>
        <v>-308.75014709476329</v>
      </c>
      <c r="C7" s="39">
        <f>+C6+B7</f>
        <v>99691.249852905239</v>
      </c>
    </row>
    <row r="8" spans="1:7" x14ac:dyDescent="0.3">
      <c r="A8" s="2">
        <f>+A7+1</f>
        <v>2</v>
      </c>
      <c r="B8" s="42">
        <f t="shared" ref="B8:B71" si="0">PPMT(0.00604,A8,180,100000,0)</f>
        <v>-310.61499798321569</v>
      </c>
      <c r="C8" s="39">
        <f t="shared" ref="C8:C71" si="1">+C7+B8</f>
        <v>99380.634854922027</v>
      </c>
    </row>
    <row r="9" spans="1:7" x14ac:dyDescent="0.3">
      <c r="A9" s="2">
        <f t="shared" ref="A9:A72" si="2">+A8+1</f>
        <v>3</v>
      </c>
      <c r="B9" s="42">
        <f t="shared" si="0"/>
        <v>-312.49111257103436</v>
      </c>
      <c r="C9" s="39">
        <f t="shared" si="1"/>
        <v>99068.143742350992</v>
      </c>
    </row>
    <row r="10" spans="1:7" x14ac:dyDescent="0.3">
      <c r="A10" s="2">
        <f t="shared" si="2"/>
        <v>4</v>
      </c>
      <c r="B10" s="42">
        <f t="shared" si="0"/>
        <v>-314.3785588909634</v>
      </c>
      <c r="C10" s="39">
        <f t="shared" si="1"/>
        <v>98753.765183460026</v>
      </c>
    </row>
    <row r="11" spans="1:7" x14ac:dyDescent="0.3">
      <c r="A11" s="2">
        <f t="shared" si="2"/>
        <v>5</v>
      </c>
      <c r="B11" s="42">
        <f t="shared" si="0"/>
        <v>-316.27740538666478</v>
      </c>
      <c r="C11" s="39">
        <f t="shared" si="1"/>
        <v>98437.487778073366</v>
      </c>
    </row>
    <row r="12" spans="1:7" x14ac:dyDescent="0.3">
      <c r="A12" s="2">
        <f t="shared" si="2"/>
        <v>6</v>
      </c>
      <c r="B12" s="42">
        <f t="shared" si="0"/>
        <v>-318.18772091520026</v>
      </c>
      <c r="C12" s="39">
        <f t="shared" si="1"/>
        <v>98119.300057158165</v>
      </c>
    </row>
    <row r="13" spans="1:7" x14ac:dyDescent="0.3">
      <c r="A13" s="2">
        <f t="shared" si="2"/>
        <v>7</v>
      </c>
      <c r="B13" s="42">
        <f t="shared" si="0"/>
        <v>-320.10957474952806</v>
      </c>
      <c r="C13" s="39">
        <f t="shared" si="1"/>
        <v>97799.190482408638</v>
      </c>
    </row>
    <row r="14" spans="1:7" x14ac:dyDescent="0.3">
      <c r="A14" s="2">
        <f t="shared" si="2"/>
        <v>8</v>
      </c>
      <c r="B14" s="42">
        <f t="shared" si="0"/>
        <v>-322.0430365810152</v>
      </c>
      <c r="C14" s="39">
        <f t="shared" si="1"/>
        <v>97477.147445827621</v>
      </c>
    </row>
    <row r="15" spans="1:7" x14ac:dyDescent="0.3">
      <c r="A15" s="2">
        <f t="shared" si="2"/>
        <v>9</v>
      </c>
      <c r="B15" s="42">
        <f t="shared" si="0"/>
        <v>-323.98817652196453</v>
      </c>
      <c r="C15" s="39">
        <f t="shared" si="1"/>
        <v>97153.159269305659</v>
      </c>
    </row>
    <row r="16" spans="1:7" x14ac:dyDescent="0.3">
      <c r="A16" s="2">
        <f t="shared" si="2"/>
        <v>10</v>
      </c>
      <c r="B16" s="42">
        <f t="shared" si="0"/>
        <v>-325.94506510815722</v>
      </c>
      <c r="C16" s="39">
        <f t="shared" si="1"/>
        <v>96827.214204197502</v>
      </c>
    </row>
    <row r="17" spans="1:7" x14ac:dyDescent="0.3">
      <c r="A17" s="2">
        <f t="shared" si="2"/>
        <v>11</v>
      </c>
      <c r="B17" s="42">
        <f t="shared" si="0"/>
        <v>-327.91377330141052</v>
      </c>
      <c r="C17" s="39">
        <f t="shared" si="1"/>
        <v>96499.300430896095</v>
      </c>
    </row>
    <row r="18" spans="1:7" x14ac:dyDescent="0.3">
      <c r="A18" s="2">
        <f t="shared" si="2"/>
        <v>12</v>
      </c>
      <c r="B18" s="42">
        <f t="shared" si="0"/>
        <v>-329.89437249215098</v>
      </c>
      <c r="C18" s="39">
        <f t="shared" si="1"/>
        <v>96169.40605840394</v>
      </c>
      <c r="D18" s="2">
        <v>2025</v>
      </c>
      <c r="E18" s="40">
        <f>+C6-C18</f>
        <v>3830.5939415960602</v>
      </c>
      <c r="F18" s="43">
        <f>SUM(B7:B18)</f>
        <v>-3830.5939415960675</v>
      </c>
      <c r="G18" s="43">
        <f>+E18+F18</f>
        <v>-7.2759576141834259E-12</v>
      </c>
    </row>
    <row r="19" spans="1:7" x14ac:dyDescent="0.3">
      <c r="A19" s="2">
        <f t="shared" si="2"/>
        <v>13</v>
      </c>
      <c r="B19" s="42">
        <f t="shared" si="0"/>
        <v>-331.88693450200356</v>
      </c>
      <c r="C19" s="39">
        <f t="shared" si="1"/>
        <v>95837.519123901933</v>
      </c>
    </row>
    <row r="20" spans="1:7" x14ac:dyDescent="0.3">
      <c r="A20" s="2">
        <f t="shared" si="2"/>
        <v>14</v>
      </c>
      <c r="B20" s="42">
        <f t="shared" si="0"/>
        <v>-333.89153158639573</v>
      </c>
      <c r="C20" s="39">
        <f t="shared" si="1"/>
        <v>95503.627592315534</v>
      </c>
    </row>
    <row r="21" spans="1:7" x14ac:dyDescent="0.3">
      <c r="A21" s="2">
        <f t="shared" si="2"/>
        <v>15</v>
      </c>
      <c r="B21" s="42">
        <f t="shared" si="0"/>
        <v>-335.90823643717755</v>
      </c>
      <c r="C21" s="39">
        <f t="shared" si="1"/>
        <v>95167.719355878362</v>
      </c>
    </row>
    <row r="22" spans="1:7" x14ac:dyDescent="0.3">
      <c r="A22" s="2">
        <f t="shared" si="2"/>
        <v>16</v>
      </c>
      <c r="B22" s="42">
        <f t="shared" si="0"/>
        <v>-337.93712218525803</v>
      </c>
      <c r="C22" s="39">
        <f t="shared" si="1"/>
        <v>94829.782233693099</v>
      </c>
    </row>
    <row r="23" spans="1:7" x14ac:dyDescent="0.3">
      <c r="A23" s="2">
        <f t="shared" si="2"/>
        <v>17</v>
      </c>
      <c r="B23" s="42">
        <f t="shared" si="0"/>
        <v>-339.97826240325702</v>
      </c>
      <c r="C23" s="39">
        <f t="shared" si="1"/>
        <v>94489.803971289846</v>
      </c>
    </row>
    <row r="24" spans="1:7" x14ac:dyDescent="0.3">
      <c r="A24" s="2">
        <f t="shared" si="2"/>
        <v>18</v>
      </c>
      <c r="B24" s="42">
        <f t="shared" si="0"/>
        <v>-342.03173110817272</v>
      </c>
      <c r="C24" s="39">
        <f t="shared" si="1"/>
        <v>94147.772240181672</v>
      </c>
    </row>
    <row r="25" spans="1:7" x14ac:dyDescent="0.3">
      <c r="A25" s="2">
        <f t="shared" si="2"/>
        <v>19</v>
      </c>
      <c r="B25" s="42">
        <f t="shared" si="0"/>
        <v>-344.09760276406604</v>
      </c>
      <c r="C25" s="39">
        <f t="shared" si="1"/>
        <v>93803.6746374176</v>
      </c>
    </row>
    <row r="26" spans="1:7" x14ac:dyDescent="0.3">
      <c r="A26" s="2">
        <f t="shared" si="2"/>
        <v>20</v>
      </c>
      <c r="B26" s="42">
        <f t="shared" si="0"/>
        <v>-346.17595228476108</v>
      </c>
      <c r="C26" s="39">
        <f t="shared" si="1"/>
        <v>93457.498685132843</v>
      </c>
    </row>
    <row r="27" spans="1:7" x14ac:dyDescent="0.3">
      <c r="A27" s="2">
        <f t="shared" si="2"/>
        <v>21</v>
      </c>
      <c r="B27" s="42">
        <f t="shared" si="0"/>
        <v>-348.26685503656097</v>
      </c>
      <c r="C27" s="39">
        <f t="shared" si="1"/>
        <v>93109.23183009628</v>
      </c>
    </row>
    <row r="28" spans="1:7" x14ac:dyDescent="0.3">
      <c r="A28" s="2">
        <f t="shared" si="2"/>
        <v>22</v>
      </c>
      <c r="B28" s="42">
        <f t="shared" si="0"/>
        <v>-350.37038684098178</v>
      </c>
      <c r="C28" s="39">
        <f t="shared" si="1"/>
        <v>92758.8614432553</v>
      </c>
    </row>
    <row r="29" spans="1:7" x14ac:dyDescent="0.3">
      <c r="A29" s="2">
        <f t="shared" si="2"/>
        <v>23</v>
      </c>
      <c r="B29" s="42">
        <f t="shared" si="0"/>
        <v>-352.48662397750132</v>
      </c>
      <c r="C29" s="39">
        <f t="shared" si="1"/>
        <v>92406.3748192778</v>
      </c>
    </row>
    <row r="30" spans="1:7" x14ac:dyDescent="0.3">
      <c r="A30" s="2">
        <f t="shared" si="2"/>
        <v>24</v>
      </c>
      <c r="B30" s="42">
        <f t="shared" si="0"/>
        <v>-354.61564318632543</v>
      </c>
      <c r="C30" s="39">
        <f t="shared" si="1"/>
        <v>92051.75917609148</v>
      </c>
      <c r="D30" s="2">
        <f>+D18+1</f>
        <v>2026</v>
      </c>
      <c r="E30" s="40">
        <f>+C18-C30</f>
        <v>4117.6468823124596</v>
      </c>
      <c r="F30" s="43">
        <f>SUM(B19:B30)</f>
        <v>-4117.6468823124605</v>
      </c>
      <c r="G30" s="43">
        <f>+E30+F30</f>
        <v>0</v>
      </c>
    </row>
    <row r="31" spans="1:7" x14ac:dyDescent="0.3">
      <c r="A31" s="2">
        <f t="shared" si="2"/>
        <v>25</v>
      </c>
      <c r="B31" s="42">
        <f t="shared" si="0"/>
        <v>-356.75752167117082</v>
      </c>
      <c r="C31" s="39">
        <f t="shared" si="1"/>
        <v>91695.00165442031</v>
      </c>
    </row>
    <row r="32" spans="1:7" x14ac:dyDescent="0.3">
      <c r="A32" s="2">
        <f t="shared" si="2"/>
        <v>26</v>
      </c>
      <c r="B32" s="42">
        <f t="shared" si="0"/>
        <v>-358.91233710206473</v>
      </c>
      <c r="C32" s="39">
        <f t="shared" si="1"/>
        <v>91336.089317318241</v>
      </c>
    </row>
    <row r="33" spans="1:7" x14ac:dyDescent="0.3">
      <c r="A33" s="2">
        <f t="shared" si="2"/>
        <v>27</v>
      </c>
      <c r="B33" s="42">
        <f t="shared" si="0"/>
        <v>-361.08016761816117</v>
      </c>
      <c r="C33" s="39">
        <f t="shared" si="1"/>
        <v>90975.009149700083</v>
      </c>
    </row>
    <row r="34" spans="1:7" x14ac:dyDescent="0.3">
      <c r="A34" s="2">
        <f t="shared" si="2"/>
        <v>28</v>
      </c>
      <c r="B34" s="42">
        <f t="shared" si="0"/>
        <v>-363.26109183057486</v>
      </c>
      <c r="C34" s="39">
        <f t="shared" si="1"/>
        <v>90611.74805786951</v>
      </c>
    </row>
    <row r="35" spans="1:7" x14ac:dyDescent="0.3">
      <c r="A35" s="2">
        <f t="shared" si="2"/>
        <v>29</v>
      </c>
      <c r="B35" s="42">
        <f t="shared" si="0"/>
        <v>-365.45518882523152</v>
      </c>
      <c r="C35" s="39">
        <f t="shared" si="1"/>
        <v>90246.292869044279</v>
      </c>
    </row>
    <row r="36" spans="1:7" x14ac:dyDescent="0.3">
      <c r="A36" s="2">
        <f t="shared" si="2"/>
        <v>30</v>
      </c>
      <c r="B36" s="42">
        <f t="shared" si="0"/>
        <v>-367.66253816573601</v>
      </c>
      <c r="C36" s="39">
        <f t="shared" si="1"/>
        <v>89878.630330878543</v>
      </c>
    </row>
    <row r="37" spans="1:7" x14ac:dyDescent="0.3">
      <c r="A37" s="2">
        <f t="shared" si="2"/>
        <v>31</v>
      </c>
      <c r="B37" s="42">
        <f t="shared" si="0"/>
        <v>-369.883219896257</v>
      </c>
      <c r="C37" s="39">
        <f t="shared" si="1"/>
        <v>89508.74711098228</v>
      </c>
    </row>
    <row r="38" spans="1:7" x14ac:dyDescent="0.3">
      <c r="A38" s="2">
        <f t="shared" si="2"/>
        <v>32</v>
      </c>
      <c r="B38" s="42">
        <f t="shared" si="0"/>
        <v>-372.11731454443043</v>
      </c>
      <c r="C38" s="39">
        <f t="shared" si="1"/>
        <v>89136.629796437846</v>
      </c>
    </row>
    <row r="39" spans="1:7" x14ac:dyDescent="0.3">
      <c r="A39" s="2">
        <f t="shared" si="2"/>
        <v>33</v>
      </c>
      <c r="B39" s="42">
        <f t="shared" si="0"/>
        <v>-374.36490312427878</v>
      </c>
      <c r="C39" s="39">
        <f t="shared" si="1"/>
        <v>88762.264893313564</v>
      </c>
    </row>
    <row r="40" spans="1:7" x14ac:dyDescent="0.3">
      <c r="A40" s="2">
        <f t="shared" si="2"/>
        <v>34</v>
      </c>
      <c r="B40" s="42">
        <f t="shared" si="0"/>
        <v>-376.62606713914937</v>
      </c>
      <c r="C40" s="39">
        <f t="shared" si="1"/>
        <v>88385.638826174414</v>
      </c>
    </row>
    <row r="41" spans="1:7" x14ac:dyDescent="0.3">
      <c r="A41" s="2">
        <f t="shared" si="2"/>
        <v>35</v>
      </c>
      <c r="B41" s="42">
        <f t="shared" si="0"/>
        <v>-378.90088858466987</v>
      </c>
      <c r="C41" s="39">
        <f t="shared" si="1"/>
        <v>88006.737937589744</v>
      </c>
    </row>
    <row r="42" spans="1:7" x14ac:dyDescent="0.3">
      <c r="A42" s="2">
        <f t="shared" si="2"/>
        <v>36</v>
      </c>
      <c r="B42" s="42">
        <f t="shared" si="0"/>
        <v>-381.18944995172126</v>
      </c>
      <c r="C42" s="39">
        <f t="shared" si="1"/>
        <v>87625.548487638021</v>
      </c>
      <c r="D42" s="2">
        <f>+D30+1</f>
        <v>2027</v>
      </c>
      <c r="E42" s="40">
        <f>+C30-C42</f>
        <v>4426.2106884534587</v>
      </c>
      <c r="F42" s="43">
        <f>SUM(B31:B42)</f>
        <v>-4426.210688453446</v>
      </c>
      <c r="G42" s="43">
        <f>+E42+F42</f>
        <v>1.2732925824820995E-11</v>
      </c>
    </row>
    <row r="43" spans="1:7" x14ac:dyDescent="0.3">
      <c r="A43" s="2">
        <f t="shared" si="2"/>
        <v>37</v>
      </c>
      <c r="B43" s="42">
        <f t="shared" si="0"/>
        <v>-383.49183422942963</v>
      </c>
      <c r="C43" s="39">
        <f t="shared" si="1"/>
        <v>87242.056653408596</v>
      </c>
    </row>
    <row r="44" spans="1:7" x14ac:dyDescent="0.3">
      <c r="A44" s="2">
        <f t="shared" si="2"/>
        <v>38</v>
      </c>
      <c r="B44" s="42">
        <f t="shared" si="0"/>
        <v>-385.80812490817544</v>
      </c>
      <c r="C44" s="39">
        <f t="shared" si="1"/>
        <v>86856.248528500422</v>
      </c>
    </row>
    <row r="45" spans="1:7" x14ac:dyDescent="0.3">
      <c r="A45" s="2">
        <f t="shared" si="2"/>
        <v>39</v>
      </c>
      <c r="B45" s="42">
        <f t="shared" si="0"/>
        <v>-388.13840598262078</v>
      </c>
      <c r="C45" s="39">
        <f t="shared" si="1"/>
        <v>86468.110122517799</v>
      </c>
    </row>
    <row r="46" spans="1:7" x14ac:dyDescent="0.3">
      <c r="A46" s="2">
        <f t="shared" si="2"/>
        <v>40</v>
      </c>
      <c r="B46" s="42">
        <f t="shared" si="0"/>
        <v>-390.48276195475586</v>
      </c>
      <c r="C46" s="39">
        <f t="shared" si="1"/>
        <v>86077.627360563041</v>
      </c>
    </row>
    <row r="47" spans="1:7" x14ac:dyDescent="0.3">
      <c r="A47" s="2">
        <f t="shared" si="2"/>
        <v>41</v>
      </c>
      <c r="B47" s="42">
        <f t="shared" si="0"/>
        <v>-392.84127783696255</v>
      </c>
      <c r="C47" s="39">
        <f t="shared" si="1"/>
        <v>85684.786082726074</v>
      </c>
    </row>
    <row r="48" spans="1:7" x14ac:dyDescent="0.3">
      <c r="A48" s="2">
        <f t="shared" si="2"/>
        <v>42</v>
      </c>
      <c r="B48" s="42">
        <f t="shared" si="0"/>
        <v>-395.21403915509785</v>
      </c>
      <c r="C48" s="39">
        <f t="shared" si="1"/>
        <v>85289.572043570981</v>
      </c>
    </row>
    <row r="49" spans="1:7" x14ac:dyDescent="0.3">
      <c r="A49" s="2">
        <f t="shared" si="2"/>
        <v>43</v>
      </c>
      <c r="B49" s="42">
        <f t="shared" si="0"/>
        <v>-397.6011319515946</v>
      </c>
      <c r="C49" s="39">
        <f t="shared" si="1"/>
        <v>84891.970911619384</v>
      </c>
    </row>
    <row r="50" spans="1:7" x14ac:dyDescent="0.3">
      <c r="A50" s="2">
        <f t="shared" si="2"/>
        <v>44</v>
      </c>
      <c r="B50" s="42">
        <f t="shared" si="0"/>
        <v>-400.00264278858225</v>
      </c>
      <c r="C50" s="39">
        <f t="shared" si="1"/>
        <v>84491.968268830809</v>
      </c>
    </row>
    <row r="51" spans="1:7" x14ac:dyDescent="0.3">
      <c r="A51" s="2">
        <f t="shared" si="2"/>
        <v>45</v>
      </c>
      <c r="B51" s="42">
        <f t="shared" si="0"/>
        <v>-402.41865875102525</v>
      </c>
      <c r="C51" s="39">
        <f t="shared" si="1"/>
        <v>84089.54961007979</v>
      </c>
    </row>
    <row r="52" spans="1:7" x14ac:dyDescent="0.3">
      <c r="A52" s="2">
        <f t="shared" si="2"/>
        <v>46</v>
      </c>
      <c r="B52" s="42">
        <f t="shared" si="0"/>
        <v>-404.84926744988149</v>
      </c>
      <c r="C52" s="39">
        <f t="shared" si="1"/>
        <v>83684.700342629905</v>
      </c>
    </row>
    <row r="53" spans="1:7" x14ac:dyDescent="0.3">
      <c r="A53" s="2">
        <f t="shared" si="2"/>
        <v>47</v>
      </c>
      <c r="B53" s="42">
        <f t="shared" si="0"/>
        <v>-407.29455702527878</v>
      </c>
      <c r="C53" s="39">
        <f t="shared" si="1"/>
        <v>83277.405785604627</v>
      </c>
    </row>
    <row r="54" spans="1:7" x14ac:dyDescent="0.3">
      <c r="A54" s="2">
        <f t="shared" si="2"/>
        <v>48</v>
      </c>
      <c r="B54" s="42">
        <f t="shared" si="0"/>
        <v>-409.75461614971147</v>
      </c>
      <c r="C54" s="39">
        <f t="shared" si="1"/>
        <v>82867.651169454912</v>
      </c>
      <c r="D54" s="2">
        <f>+D42+1</f>
        <v>2028</v>
      </c>
      <c r="E54" s="40">
        <f>+C42-C54</f>
        <v>4757.8973181831097</v>
      </c>
      <c r="F54" s="43">
        <f>SUM(B43:B54)</f>
        <v>-4757.8973181831161</v>
      </c>
      <c r="G54" s="43">
        <f>+E54+F54</f>
        <v>0</v>
      </c>
    </row>
    <row r="55" spans="1:7" x14ac:dyDescent="0.3">
      <c r="A55" s="2">
        <f t="shared" si="2"/>
        <v>49</v>
      </c>
      <c r="B55" s="42">
        <f t="shared" si="0"/>
        <v>-412.22953403125575</v>
      </c>
      <c r="C55" s="39">
        <f t="shared" si="1"/>
        <v>82455.421635423656</v>
      </c>
    </row>
    <row r="56" spans="1:7" x14ac:dyDescent="0.3">
      <c r="A56" s="2">
        <f t="shared" si="2"/>
        <v>50</v>
      </c>
      <c r="B56" s="42">
        <f t="shared" si="0"/>
        <v>-414.71940041680455</v>
      </c>
      <c r="C56" s="39">
        <f t="shared" si="1"/>
        <v>82040.702235006858</v>
      </c>
    </row>
    <row r="57" spans="1:7" x14ac:dyDescent="0.3">
      <c r="A57" s="2">
        <f t="shared" si="2"/>
        <v>51</v>
      </c>
      <c r="B57" s="42">
        <f t="shared" si="0"/>
        <v>-417.22430559532199</v>
      </c>
      <c r="C57" s="39">
        <f t="shared" si="1"/>
        <v>81623.477929411543</v>
      </c>
    </row>
    <row r="58" spans="1:7" x14ac:dyDescent="0.3">
      <c r="A58" s="2">
        <f t="shared" si="2"/>
        <v>52</v>
      </c>
      <c r="B58" s="42">
        <f t="shared" si="0"/>
        <v>-419.74434040111777</v>
      </c>
      <c r="C58" s="39">
        <f t="shared" si="1"/>
        <v>81203.73358901043</v>
      </c>
    </row>
    <row r="59" spans="1:7" x14ac:dyDescent="0.3">
      <c r="A59" s="2">
        <f t="shared" si="2"/>
        <v>53</v>
      </c>
      <c r="B59" s="42">
        <f t="shared" si="0"/>
        <v>-422.27959621714052</v>
      </c>
      <c r="C59" s="39">
        <f t="shared" si="1"/>
        <v>80781.453992793293</v>
      </c>
    </row>
    <row r="60" spans="1:7" x14ac:dyDescent="0.3">
      <c r="A60" s="2">
        <f t="shared" si="2"/>
        <v>54</v>
      </c>
      <c r="B60" s="42">
        <f t="shared" si="0"/>
        <v>-424.83016497829198</v>
      </c>
      <c r="C60" s="39">
        <f t="shared" si="1"/>
        <v>80356.623827814998</v>
      </c>
    </row>
    <row r="61" spans="1:7" x14ac:dyDescent="0.3">
      <c r="A61" s="2">
        <f t="shared" si="2"/>
        <v>55</v>
      </c>
      <c r="B61" s="42">
        <f t="shared" si="0"/>
        <v>-427.39613917476089</v>
      </c>
      <c r="C61" s="39">
        <f t="shared" si="1"/>
        <v>79929.22768864024</v>
      </c>
    </row>
    <row r="62" spans="1:7" x14ac:dyDescent="0.3">
      <c r="A62" s="2">
        <f t="shared" si="2"/>
        <v>56</v>
      </c>
      <c r="B62" s="42">
        <f t="shared" si="0"/>
        <v>-429.97761185537644</v>
      </c>
      <c r="C62" s="39">
        <f t="shared" si="1"/>
        <v>79499.250076784869</v>
      </c>
    </row>
    <row r="63" spans="1:7" x14ac:dyDescent="0.3">
      <c r="A63" s="2">
        <f t="shared" si="2"/>
        <v>57</v>
      </c>
      <c r="B63" s="42">
        <f t="shared" si="0"/>
        <v>-432.57467663098288</v>
      </c>
      <c r="C63" s="39">
        <f t="shared" si="1"/>
        <v>79066.675400153879</v>
      </c>
    </row>
    <row r="64" spans="1:7" x14ac:dyDescent="0.3">
      <c r="A64" s="2">
        <f t="shared" si="2"/>
        <v>58</v>
      </c>
      <c r="B64" s="42">
        <f t="shared" si="0"/>
        <v>-435.18742767783397</v>
      </c>
      <c r="C64" s="39">
        <f t="shared" si="1"/>
        <v>78631.487972476039</v>
      </c>
    </row>
    <row r="65" spans="1:7" x14ac:dyDescent="0.3">
      <c r="A65" s="2">
        <f t="shared" si="2"/>
        <v>59</v>
      </c>
      <c r="B65" s="42">
        <f t="shared" si="0"/>
        <v>-437.81595974100821</v>
      </c>
      <c r="C65" s="39">
        <f t="shared" si="1"/>
        <v>78193.672012735027</v>
      </c>
    </row>
    <row r="66" spans="1:7" x14ac:dyDescent="0.3">
      <c r="A66" s="2">
        <f t="shared" si="2"/>
        <v>60</v>
      </c>
      <c r="B66" s="42">
        <f t="shared" si="0"/>
        <v>-440.46036813784383</v>
      </c>
      <c r="C66" s="39">
        <f t="shared" si="1"/>
        <v>77753.211644597177</v>
      </c>
      <c r="D66" s="2">
        <f>+D54+1</f>
        <v>2029</v>
      </c>
      <c r="E66" s="40">
        <f>+C54-C66</f>
        <v>5114.4395248577348</v>
      </c>
      <c r="F66" s="43">
        <f>SUM(B55:B66)</f>
        <v>-5114.4395248577393</v>
      </c>
      <c r="G66" s="43">
        <f>+E66+F66</f>
        <v>0</v>
      </c>
    </row>
    <row r="67" spans="1:7" x14ac:dyDescent="0.3">
      <c r="A67" s="2">
        <f t="shared" si="2"/>
        <v>61</v>
      </c>
      <c r="B67" s="42">
        <f t="shared" si="0"/>
        <v>-443.12074876139644</v>
      </c>
      <c r="C67" s="39">
        <f t="shared" si="1"/>
        <v>77310.090895835776</v>
      </c>
    </row>
    <row r="68" spans="1:7" x14ac:dyDescent="0.3">
      <c r="A68" s="2">
        <f t="shared" si="2"/>
        <v>62</v>
      </c>
      <c r="B68" s="42">
        <f t="shared" si="0"/>
        <v>-445.79719808391525</v>
      </c>
      <c r="C68" s="39">
        <f t="shared" si="1"/>
        <v>76864.293697751855</v>
      </c>
    </row>
    <row r="69" spans="1:7" x14ac:dyDescent="0.3">
      <c r="A69" s="2">
        <f t="shared" si="2"/>
        <v>63</v>
      </c>
      <c r="B69" s="42">
        <f t="shared" si="0"/>
        <v>-448.48981316034212</v>
      </c>
      <c r="C69" s="39">
        <f t="shared" si="1"/>
        <v>76415.803884591514</v>
      </c>
    </row>
    <row r="70" spans="1:7" x14ac:dyDescent="0.3">
      <c r="A70" s="2">
        <f t="shared" si="2"/>
        <v>64</v>
      </c>
      <c r="B70" s="42">
        <f t="shared" si="0"/>
        <v>-451.19869163183057</v>
      </c>
      <c r="C70" s="39">
        <f t="shared" si="1"/>
        <v>75964.605192959687</v>
      </c>
    </row>
    <row r="71" spans="1:7" x14ac:dyDescent="0.3">
      <c r="A71" s="2">
        <f t="shared" si="2"/>
        <v>65</v>
      </c>
      <c r="B71" s="42">
        <f t="shared" si="0"/>
        <v>-453.92393172928689</v>
      </c>
      <c r="C71" s="39">
        <f t="shared" si="1"/>
        <v>75510.681261230406</v>
      </c>
    </row>
    <row r="72" spans="1:7" x14ac:dyDescent="0.3">
      <c r="A72" s="2">
        <f t="shared" si="2"/>
        <v>66</v>
      </c>
      <c r="B72" s="42">
        <f t="shared" ref="B72:B135" si="3">PPMT(0.00604,A72,180,100000,0)</f>
        <v>-456.66563227693177</v>
      </c>
      <c r="C72" s="39">
        <f t="shared" ref="C72:C135" si="4">+C71+B72</f>
        <v>75054.015628953479</v>
      </c>
    </row>
    <row r="73" spans="1:7" x14ac:dyDescent="0.3">
      <c r="A73" s="2">
        <f t="shared" ref="A73:A136" si="5">+A72+1</f>
        <v>67</v>
      </c>
      <c r="B73" s="42">
        <f t="shared" si="3"/>
        <v>-459.42389269588438</v>
      </c>
      <c r="C73" s="39">
        <f t="shared" si="4"/>
        <v>74594.5917362576</v>
      </c>
    </row>
    <row r="74" spans="1:7" x14ac:dyDescent="0.3">
      <c r="A74" s="2">
        <f t="shared" si="5"/>
        <v>68</v>
      </c>
      <c r="B74" s="42">
        <f t="shared" si="3"/>
        <v>-462.19881300776751</v>
      </c>
      <c r="C74" s="39">
        <f t="shared" si="4"/>
        <v>74132.392923249834</v>
      </c>
    </row>
    <row r="75" spans="1:7" x14ac:dyDescent="0.3">
      <c r="A75" s="2">
        <f t="shared" si="5"/>
        <v>69</v>
      </c>
      <c r="B75" s="42">
        <f t="shared" si="3"/>
        <v>-464.99049383833449</v>
      </c>
      <c r="C75" s="39">
        <f t="shared" si="4"/>
        <v>73667.402429411493</v>
      </c>
    </row>
    <row r="76" spans="1:7" x14ac:dyDescent="0.3">
      <c r="A76" s="2">
        <f t="shared" si="5"/>
        <v>70</v>
      </c>
      <c r="B76" s="42">
        <f t="shared" si="3"/>
        <v>-467.79903642111799</v>
      </c>
      <c r="C76" s="39">
        <f t="shared" si="4"/>
        <v>73199.603392990379</v>
      </c>
    </row>
    <row r="77" spans="1:7" x14ac:dyDescent="0.3">
      <c r="A77" s="2">
        <f t="shared" si="5"/>
        <v>71</v>
      </c>
      <c r="B77" s="42">
        <f t="shared" si="3"/>
        <v>-470.6245426011015</v>
      </c>
      <c r="C77" s="39">
        <f t="shared" si="4"/>
        <v>72728.978850389278</v>
      </c>
    </row>
    <row r="78" spans="1:7" x14ac:dyDescent="0.3">
      <c r="A78" s="2">
        <f t="shared" si="5"/>
        <v>72</v>
      </c>
      <c r="B78" s="42">
        <f t="shared" si="3"/>
        <v>-473.46711483841216</v>
      </c>
      <c r="C78" s="39">
        <f t="shared" si="4"/>
        <v>72255.51173555087</v>
      </c>
      <c r="D78" s="2">
        <f>+D66+1</f>
        <v>2030</v>
      </c>
      <c r="E78" s="40">
        <f>+C66-C78</f>
        <v>5497.6999090463069</v>
      </c>
      <c r="F78" s="43">
        <f>SUM(B67:B78)</f>
        <v>-5497.6999090463214</v>
      </c>
      <c r="G78" s="43">
        <f>+E78+F78</f>
        <v>-1.4551915228366852E-11</v>
      </c>
    </row>
    <row r="79" spans="1:7" x14ac:dyDescent="0.3">
      <c r="A79" s="2">
        <f t="shared" si="5"/>
        <v>73</v>
      </c>
      <c r="B79" s="42">
        <f t="shared" si="3"/>
        <v>-476.32685621203626</v>
      </c>
      <c r="C79" s="39">
        <f t="shared" si="4"/>
        <v>71779.184879338834</v>
      </c>
    </row>
    <row r="80" spans="1:7" x14ac:dyDescent="0.3">
      <c r="A80" s="2">
        <f t="shared" si="5"/>
        <v>74</v>
      </c>
      <c r="B80" s="42">
        <f t="shared" si="3"/>
        <v>-479.20387042355691</v>
      </c>
      <c r="C80" s="39">
        <f t="shared" si="4"/>
        <v>71299.981008915274</v>
      </c>
    </row>
    <row r="81" spans="1:7" x14ac:dyDescent="0.3">
      <c r="A81" s="2">
        <f t="shared" si="5"/>
        <v>75</v>
      </c>
      <c r="B81" s="42">
        <f t="shared" si="3"/>
        <v>-482.09826180091517</v>
      </c>
      <c r="C81" s="39">
        <f t="shared" si="4"/>
        <v>70817.88274711436</v>
      </c>
    </row>
    <row r="82" spans="1:7" x14ac:dyDescent="0.3">
      <c r="A82" s="2">
        <f t="shared" si="5"/>
        <v>76</v>
      </c>
      <c r="B82" s="42">
        <f t="shared" si="3"/>
        <v>-485.01013530219274</v>
      </c>
      <c r="C82" s="39">
        <f t="shared" si="4"/>
        <v>70332.87261181217</v>
      </c>
    </row>
    <row r="83" spans="1:7" x14ac:dyDescent="0.3">
      <c r="A83" s="2">
        <f t="shared" si="5"/>
        <v>77</v>
      </c>
      <c r="B83" s="42">
        <f t="shared" si="3"/>
        <v>-487.93959651941799</v>
      </c>
      <c r="C83" s="39">
        <f t="shared" si="4"/>
        <v>69844.933015292758</v>
      </c>
    </row>
    <row r="84" spans="1:7" x14ac:dyDescent="0.3">
      <c r="A84" s="2">
        <f t="shared" si="5"/>
        <v>78</v>
      </c>
      <c r="B84" s="42">
        <f t="shared" si="3"/>
        <v>-490.88675168239524</v>
      </c>
      <c r="C84" s="39">
        <f t="shared" si="4"/>
        <v>69354.046263610362</v>
      </c>
    </row>
    <row r="85" spans="1:7" x14ac:dyDescent="0.3">
      <c r="A85" s="2">
        <f t="shared" si="5"/>
        <v>79</v>
      </c>
      <c r="B85" s="42">
        <f t="shared" si="3"/>
        <v>-493.85170766255692</v>
      </c>
      <c r="C85" s="39">
        <f t="shared" si="4"/>
        <v>68860.194555947804</v>
      </c>
    </row>
    <row r="86" spans="1:7" x14ac:dyDescent="0.3">
      <c r="A86" s="2">
        <f t="shared" si="5"/>
        <v>80</v>
      </c>
      <c r="B86" s="42">
        <f t="shared" si="3"/>
        <v>-496.83457197683873</v>
      </c>
      <c r="C86" s="39">
        <f t="shared" si="4"/>
        <v>68363.359983970964</v>
      </c>
    </row>
    <row r="87" spans="1:7" x14ac:dyDescent="0.3">
      <c r="A87" s="2">
        <f t="shared" si="5"/>
        <v>81</v>
      </c>
      <c r="B87" s="42">
        <f t="shared" si="3"/>
        <v>-499.83545279157886</v>
      </c>
      <c r="C87" s="39">
        <f t="shared" si="4"/>
        <v>67863.524531179384</v>
      </c>
    </row>
    <row r="88" spans="1:7" x14ac:dyDescent="0.3">
      <c r="A88" s="2">
        <f t="shared" si="5"/>
        <v>82</v>
      </c>
      <c r="B88" s="42">
        <f t="shared" si="3"/>
        <v>-502.85445892644003</v>
      </c>
      <c r="C88" s="39">
        <f t="shared" si="4"/>
        <v>67360.670072252949</v>
      </c>
    </row>
    <row r="89" spans="1:7" x14ac:dyDescent="0.3">
      <c r="A89" s="2">
        <f t="shared" si="5"/>
        <v>83</v>
      </c>
      <c r="B89" s="42">
        <f t="shared" si="3"/>
        <v>-505.89169985835576</v>
      </c>
      <c r="C89" s="39">
        <f t="shared" si="4"/>
        <v>66854.77837239459</v>
      </c>
    </row>
    <row r="90" spans="1:7" x14ac:dyDescent="0.3">
      <c r="A90" s="2">
        <f t="shared" si="5"/>
        <v>84</v>
      </c>
      <c r="B90" s="42">
        <f t="shared" si="3"/>
        <v>-508.94728572550019</v>
      </c>
      <c r="C90" s="39">
        <f t="shared" si="4"/>
        <v>66345.831086669088</v>
      </c>
      <c r="D90" s="2">
        <f>+D78+1</f>
        <v>2031</v>
      </c>
      <c r="E90" s="40">
        <f>+C78-C90</f>
        <v>5909.680648881782</v>
      </c>
      <c r="F90" s="43">
        <f>SUM(B79:B90)</f>
        <v>-5909.6806488817847</v>
      </c>
      <c r="G90" s="43">
        <f>+E90+F90</f>
        <v>0</v>
      </c>
    </row>
    <row r="91" spans="1:7" x14ac:dyDescent="0.3">
      <c r="A91" s="2">
        <f t="shared" si="5"/>
        <v>85</v>
      </c>
      <c r="B91" s="42">
        <f t="shared" si="3"/>
        <v>-512.02132733128224</v>
      </c>
      <c r="C91" s="39">
        <f t="shared" si="4"/>
        <v>65833.809759337804</v>
      </c>
    </row>
    <row r="92" spans="1:7" x14ac:dyDescent="0.3">
      <c r="A92" s="2">
        <f t="shared" si="5"/>
        <v>86</v>
      </c>
      <c r="B92" s="42">
        <f t="shared" si="3"/>
        <v>-515.11393614836311</v>
      </c>
      <c r="C92" s="39">
        <f t="shared" si="4"/>
        <v>65318.695823189439</v>
      </c>
    </row>
    <row r="93" spans="1:7" x14ac:dyDescent="0.3">
      <c r="A93" s="2">
        <f t="shared" si="5"/>
        <v>87</v>
      </c>
      <c r="B93" s="42">
        <f t="shared" si="3"/>
        <v>-518.22522432269921</v>
      </c>
      <c r="C93" s="39">
        <f t="shared" si="4"/>
        <v>64800.470598866741</v>
      </c>
    </row>
    <row r="94" spans="1:7" x14ac:dyDescent="0.3">
      <c r="A94" s="2">
        <f t="shared" si="5"/>
        <v>88</v>
      </c>
      <c r="B94" s="42">
        <f t="shared" si="3"/>
        <v>-521.35530467760827</v>
      </c>
      <c r="C94" s="39">
        <f t="shared" si="4"/>
        <v>64279.115294189134</v>
      </c>
    </row>
    <row r="95" spans="1:7" x14ac:dyDescent="0.3">
      <c r="A95" s="2">
        <f t="shared" si="5"/>
        <v>89</v>
      </c>
      <c r="B95" s="42">
        <f t="shared" si="3"/>
        <v>-524.50429071786107</v>
      </c>
      <c r="C95" s="39">
        <f t="shared" si="4"/>
        <v>63754.611003471276</v>
      </c>
    </row>
    <row r="96" spans="1:7" x14ac:dyDescent="0.3">
      <c r="A96" s="2">
        <f t="shared" si="5"/>
        <v>90</v>
      </c>
      <c r="B96" s="42">
        <f t="shared" si="3"/>
        <v>-527.67229663379703</v>
      </c>
      <c r="C96" s="39">
        <f t="shared" si="4"/>
        <v>63226.938706837478</v>
      </c>
    </row>
    <row r="97" spans="1:7" x14ac:dyDescent="0.3">
      <c r="A97" s="2">
        <f t="shared" si="5"/>
        <v>91</v>
      </c>
      <c r="B97" s="42">
        <f t="shared" si="3"/>
        <v>-530.85943730546512</v>
      </c>
      <c r="C97" s="39">
        <f t="shared" si="4"/>
        <v>62696.079269532012</v>
      </c>
    </row>
    <row r="98" spans="1:7" x14ac:dyDescent="0.3">
      <c r="A98" s="2">
        <f t="shared" si="5"/>
        <v>92</v>
      </c>
      <c r="B98" s="42">
        <f t="shared" si="3"/>
        <v>-534.06582830679019</v>
      </c>
      <c r="C98" s="39">
        <f t="shared" si="4"/>
        <v>62162.013441225223</v>
      </c>
    </row>
    <row r="99" spans="1:7" x14ac:dyDescent="0.3">
      <c r="A99" s="2">
        <f t="shared" si="5"/>
        <v>93</v>
      </c>
      <c r="B99" s="42">
        <f t="shared" si="3"/>
        <v>-537.29158590976306</v>
      </c>
      <c r="C99" s="39">
        <f t="shared" si="4"/>
        <v>61624.72185531546</v>
      </c>
    </row>
    <row r="100" spans="1:7" x14ac:dyDescent="0.3">
      <c r="A100" s="2">
        <f t="shared" si="5"/>
        <v>94</v>
      </c>
      <c r="B100" s="42">
        <f t="shared" si="3"/>
        <v>-540.53682708865813</v>
      </c>
      <c r="C100" s="39">
        <f t="shared" si="4"/>
        <v>61084.185028226799</v>
      </c>
    </row>
    <row r="101" spans="1:7" x14ac:dyDescent="0.3">
      <c r="A101" s="2">
        <f t="shared" si="5"/>
        <v>95</v>
      </c>
      <c r="B101" s="42">
        <f t="shared" si="3"/>
        <v>-543.80166952427351</v>
      </c>
      <c r="C101" s="39">
        <f t="shared" si="4"/>
        <v>60540.383358702522</v>
      </c>
    </row>
    <row r="102" spans="1:7" x14ac:dyDescent="0.3">
      <c r="A102" s="2">
        <f t="shared" si="5"/>
        <v>96</v>
      </c>
      <c r="B102" s="42">
        <f t="shared" si="3"/>
        <v>-547.08623160820025</v>
      </c>
      <c r="C102" s="39">
        <f t="shared" si="4"/>
        <v>59993.297127094324</v>
      </c>
      <c r="D102" s="2">
        <f>+D90+1</f>
        <v>2032</v>
      </c>
      <c r="E102" s="40">
        <f>+C90-C102</f>
        <v>6352.5339595747646</v>
      </c>
      <c r="F102" s="43">
        <f>SUM(B91:B102)</f>
        <v>-6352.5339595747619</v>
      </c>
      <c r="G102" s="43">
        <f>+E102+F102</f>
        <v>0</v>
      </c>
    </row>
    <row r="103" spans="1:7" x14ac:dyDescent="0.3">
      <c r="A103" s="2">
        <f t="shared" si="5"/>
        <v>97</v>
      </c>
      <c r="B103" s="42">
        <f t="shared" si="3"/>
        <v>-550.39063244711372</v>
      </c>
      <c r="C103" s="39">
        <f t="shared" si="4"/>
        <v>59442.906494647206</v>
      </c>
    </row>
    <row r="104" spans="1:7" x14ac:dyDescent="0.3">
      <c r="A104" s="2">
        <f t="shared" si="5"/>
        <v>98</v>
      </c>
      <c r="B104" s="42">
        <f t="shared" si="3"/>
        <v>-553.71499186709434</v>
      </c>
      <c r="C104" s="39">
        <f t="shared" si="4"/>
        <v>58889.191502780115</v>
      </c>
    </row>
    <row r="105" spans="1:7" x14ac:dyDescent="0.3">
      <c r="A105" s="2">
        <f t="shared" si="5"/>
        <v>99</v>
      </c>
      <c r="B105" s="42">
        <f t="shared" si="3"/>
        <v>-557.0594304179715</v>
      </c>
      <c r="C105" s="39">
        <f t="shared" si="4"/>
        <v>58332.132072362147</v>
      </c>
    </row>
    <row r="106" spans="1:7" x14ac:dyDescent="0.3">
      <c r="A106" s="2">
        <f t="shared" si="5"/>
        <v>100</v>
      </c>
      <c r="B106" s="42">
        <f t="shared" si="3"/>
        <v>-560.42406937769601</v>
      </c>
      <c r="C106" s="39">
        <f t="shared" si="4"/>
        <v>57771.708002984451</v>
      </c>
    </row>
    <row r="107" spans="1:7" x14ac:dyDescent="0.3">
      <c r="A107" s="2">
        <f t="shared" si="5"/>
        <v>101</v>
      </c>
      <c r="B107" s="42">
        <f t="shared" si="3"/>
        <v>-563.80903075673734</v>
      </c>
      <c r="C107" s="39">
        <f t="shared" si="4"/>
        <v>57207.898972227711</v>
      </c>
    </row>
    <row r="108" spans="1:7" x14ac:dyDescent="0.3">
      <c r="A108" s="2">
        <f t="shared" si="5"/>
        <v>102</v>
      </c>
      <c r="B108" s="42">
        <f t="shared" si="3"/>
        <v>-567.21443730250803</v>
      </c>
      <c r="C108" s="39">
        <f t="shared" si="4"/>
        <v>56640.684534925203</v>
      </c>
    </row>
    <row r="109" spans="1:7" x14ac:dyDescent="0.3">
      <c r="A109" s="2">
        <f t="shared" si="5"/>
        <v>103</v>
      </c>
      <c r="B109" s="42">
        <f t="shared" si="3"/>
        <v>-570.64041250381524</v>
      </c>
      <c r="C109" s="39">
        <f t="shared" si="4"/>
        <v>56070.044122421386</v>
      </c>
    </row>
    <row r="110" spans="1:7" x14ac:dyDescent="0.3">
      <c r="A110" s="2">
        <f t="shared" si="5"/>
        <v>104</v>
      </c>
      <c r="B110" s="42">
        <f t="shared" si="3"/>
        <v>-574.08708059533819</v>
      </c>
      <c r="C110" s="39">
        <f t="shared" si="4"/>
        <v>55495.957041826048</v>
      </c>
    </row>
    <row r="111" spans="1:7" x14ac:dyDescent="0.3">
      <c r="A111" s="2">
        <f t="shared" si="5"/>
        <v>105</v>
      </c>
      <c r="B111" s="42">
        <f t="shared" si="3"/>
        <v>-577.55456656213403</v>
      </c>
      <c r="C111" s="39">
        <f t="shared" si="4"/>
        <v>54918.402475263916</v>
      </c>
    </row>
    <row r="112" spans="1:7" x14ac:dyDescent="0.3">
      <c r="A112" s="2">
        <f t="shared" si="5"/>
        <v>106</v>
      </c>
      <c r="B112" s="42">
        <f t="shared" si="3"/>
        <v>-581.04299614416936</v>
      </c>
      <c r="C112" s="39">
        <f t="shared" si="4"/>
        <v>54337.359479119747</v>
      </c>
    </row>
    <row r="113" spans="1:7" x14ac:dyDescent="0.3">
      <c r="A113" s="2">
        <f t="shared" si="5"/>
        <v>107</v>
      </c>
      <c r="B113" s="42">
        <f t="shared" si="3"/>
        <v>-584.55249584088017</v>
      </c>
      <c r="C113" s="39">
        <f t="shared" si="4"/>
        <v>53752.806983278868</v>
      </c>
    </row>
    <row r="114" spans="1:7" x14ac:dyDescent="0.3">
      <c r="A114" s="2">
        <f t="shared" si="5"/>
        <v>108</v>
      </c>
      <c r="B114" s="42">
        <f t="shared" si="3"/>
        <v>-588.08319291575913</v>
      </c>
      <c r="C114" s="39">
        <f t="shared" si="4"/>
        <v>53164.72379036311</v>
      </c>
      <c r="D114" s="2">
        <f>+D102+1</f>
        <v>2033</v>
      </c>
      <c r="E114" s="40">
        <f>+C102-C114</f>
        <v>6828.5733367312132</v>
      </c>
      <c r="F114" s="43">
        <f>SUM(B103:B114)</f>
        <v>-6828.5733367312168</v>
      </c>
      <c r="G114" s="43">
        <f>+E114+F114</f>
        <v>0</v>
      </c>
    </row>
    <row r="115" spans="1:7" x14ac:dyDescent="0.3">
      <c r="A115" s="2">
        <f t="shared" si="5"/>
        <v>109</v>
      </c>
      <c r="B115" s="42">
        <f t="shared" si="3"/>
        <v>-591.63521540097031</v>
      </c>
      <c r="C115" s="39">
        <f t="shared" si="4"/>
        <v>52573.088574962137</v>
      </c>
    </row>
    <row r="116" spans="1:7" x14ac:dyDescent="0.3">
      <c r="A116" s="2">
        <f t="shared" si="5"/>
        <v>110</v>
      </c>
      <c r="B116" s="42">
        <f t="shared" si="3"/>
        <v>-595.20869210199214</v>
      </c>
      <c r="C116" s="39">
        <f t="shared" si="4"/>
        <v>51977.879882860143</v>
      </c>
    </row>
    <row r="117" spans="1:7" x14ac:dyDescent="0.3">
      <c r="A117" s="2">
        <f t="shared" si="5"/>
        <v>111</v>
      </c>
      <c r="B117" s="42">
        <f t="shared" si="3"/>
        <v>-598.80375260228823</v>
      </c>
      <c r="C117" s="39">
        <f t="shared" si="4"/>
        <v>51379.076130257854</v>
      </c>
    </row>
    <row r="118" spans="1:7" x14ac:dyDescent="0.3">
      <c r="A118" s="2">
        <f t="shared" si="5"/>
        <v>112</v>
      </c>
      <c r="B118" s="42">
        <f t="shared" si="3"/>
        <v>-602.42052726800603</v>
      </c>
      <c r="C118" s="39">
        <f t="shared" si="4"/>
        <v>50776.655602989849</v>
      </c>
    </row>
    <row r="119" spans="1:7" x14ac:dyDescent="0.3">
      <c r="A119" s="2">
        <f t="shared" si="5"/>
        <v>113</v>
      </c>
      <c r="B119" s="42">
        <f t="shared" si="3"/>
        <v>-606.05914725270486</v>
      </c>
      <c r="C119" s="39">
        <f t="shared" si="4"/>
        <v>50170.596455737148</v>
      </c>
    </row>
    <row r="120" spans="1:7" x14ac:dyDescent="0.3">
      <c r="A120" s="2">
        <f t="shared" si="5"/>
        <v>114</v>
      </c>
      <c r="B120" s="42">
        <f t="shared" si="3"/>
        <v>-609.7197445021111</v>
      </c>
      <c r="C120" s="39">
        <f t="shared" si="4"/>
        <v>49560.87671123504</v>
      </c>
    </row>
    <row r="121" spans="1:7" x14ac:dyDescent="0.3">
      <c r="A121" s="2">
        <f t="shared" si="5"/>
        <v>115</v>
      </c>
      <c r="B121" s="42">
        <f t="shared" si="3"/>
        <v>-613.40245175890391</v>
      </c>
      <c r="C121" s="39">
        <f t="shared" si="4"/>
        <v>48947.474259476134</v>
      </c>
    </row>
    <row r="122" spans="1:7" x14ac:dyDescent="0.3">
      <c r="A122" s="2">
        <f t="shared" si="5"/>
        <v>116</v>
      </c>
      <c r="B122" s="42">
        <f t="shared" si="3"/>
        <v>-617.10740256752763</v>
      </c>
      <c r="C122" s="39">
        <f t="shared" si="4"/>
        <v>48330.366856908608</v>
      </c>
    </row>
    <row r="123" spans="1:7" x14ac:dyDescent="0.3">
      <c r="A123" s="2">
        <f t="shared" si="5"/>
        <v>117</v>
      </c>
      <c r="B123" s="42">
        <f t="shared" si="3"/>
        <v>-620.83473127903551</v>
      </c>
      <c r="C123" s="39">
        <f t="shared" si="4"/>
        <v>47709.532125629572</v>
      </c>
    </row>
    <row r="124" spans="1:7" x14ac:dyDescent="0.3">
      <c r="A124" s="2">
        <f t="shared" si="5"/>
        <v>118</v>
      </c>
      <c r="B124" s="42">
        <f t="shared" si="3"/>
        <v>-624.58457305596085</v>
      </c>
      <c r="C124" s="39">
        <f t="shared" si="4"/>
        <v>47084.947552573612</v>
      </c>
    </row>
    <row r="125" spans="1:7" x14ac:dyDescent="0.3">
      <c r="A125" s="2">
        <f t="shared" si="5"/>
        <v>119</v>
      </c>
      <c r="B125" s="42">
        <f t="shared" si="3"/>
        <v>-628.35706387721882</v>
      </c>
      <c r="C125" s="39">
        <f t="shared" si="4"/>
        <v>46456.590488696391</v>
      </c>
    </row>
    <row r="126" spans="1:7" x14ac:dyDescent="0.3">
      <c r="A126" s="2">
        <f t="shared" si="5"/>
        <v>120</v>
      </c>
      <c r="B126" s="42">
        <f t="shared" si="3"/>
        <v>-632.15234054303733</v>
      </c>
      <c r="C126" s="39">
        <f t="shared" si="4"/>
        <v>45824.438148153356</v>
      </c>
      <c r="D126" s="2">
        <f>+D114+1</f>
        <v>2034</v>
      </c>
      <c r="E126" s="40">
        <f>+C114-C126</f>
        <v>7340.2856422097539</v>
      </c>
      <c r="F126" s="43">
        <f>SUM(B115:B126)</f>
        <v>-7340.2856422097575</v>
      </c>
      <c r="G126" s="43">
        <f>+E126+F126</f>
        <v>0</v>
      </c>
    </row>
    <row r="127" spans="1:7" x14ac:dyDescent="0.3">
      <c r="A127" s="2">
        <f t="shared" si="5"/>
        <v>121</v>
      </c>
      <c r="B127" s="42">
        <f t="shared" si="3"/>
        <v>-635.97054067991724</v>
      </c>
      <c r="C127" s="39">
        <f t="shared" si="4"/>
        <v>45188.467607473438</v>
      </c>
    </row>
    <row r="128" spans="1:7" x14ac:dyDescent="0.3">
      <c r="A128" s="2">
        <f t="shared" si="5"/>
        <v>122</v>
      </c>
      <c r="B128" s="42">
        <f t="shared" si="3"/>
        <v>-639.81180274562394</v>
      </c>
      <c r="C128" s="39">
        <f t="shared" si="4"/>
        <v>44548.655804727816</v>
      </c>
    </row>
    <row r="129" spans="1:7" x14ac:dyDescent="0.3">
      <c r="A129" s="2">
        <f t="shared" si="5"/>
        <v>123</v>
      </c>
      <c r="B129" s="42">
        <f t="shared" si="3"/>
        <v>-643.6762660342074</v>
      </c>
      <c r="C129" s="39">
        <f t="shared" si="4"/>
        <v>43904.979538693609</v>
      </c>
    </row>
    <row r="130" spans="1:7" x14ac:dyDescent="0.3">
      <c r="A130" s="2">
        <f t="shared" si="5"/>
        <v>124</v>
      </c>
      <c r="B130" s="42">
        <f t="shared" si="3"/>
        <v>-647.56407068105409</v>
      </c>
      <c r="C130" s="39">
        <f t="shared" si="4"/>
        <v>43257.415468012558</v>
      </c>
    </row>
    <row r="131" spans="1:7" x14ac:dyDescent="0.3">
      <c r="A131" s="2">
        <f t="shared" si="5"/>
        <v>125</v>
      </c>
      <c r="B131" s="42">
        <f t="shared" si="3"/>
        <v>-651.47535766796773</v>
      </c>
      <c r="C131" s="39">
        <f t="shared" si="4"/>
        <v>42605.940110344593</v>
      </c>
    </row>
    <row r="132" spans="1:7" x14ac:dyDescent="0.3">
      <c r="A132" s="2">
        <f t="shared" si="5"/>
        <v>126</v>
      </c>
      <c r="B132" s="42">
        <f t="shared" si="3"/>
        <v>-655.41026882828226</v>
      </c>
      <c r="C132" s="39">
        <f t="shared" si="4"/>
        <v>41950.529841516312</v>
      </c>
    </row>
    <row r="133" spans="1:7" x14ac:dyDescent="0.3">
      <c r="A133" s="2">
        <f t="shared" si="5"/>
        <v>127</v>
      </c>
      <c r="B133" s="42">
        <f t="shared" si="3"/>
        <v>-659.36894685200502</v>
      </c>
      <c r="C133" s="39">
        <f t="shared" si="4"/>
        <v>41291.16089466431</v>
      </c>
    </row>
    <row r="134" spans="1:7" x14ac:dyDescent="0.3">
      <c r="A134" s="2">
        <f t="shared" si="5"/>
        <v>128</v>
      </c>
      <c r="B134" s="42">
        <f t="shared" si="3"/>
        <v>-663.35153529099114</v>
      </c>
      <c r="C134" s="39">
        <f t="shared" si="4"/>
        <v>40627.809359373321</v>
      </c>
    </row>
    <row r="135" spans="1:7" x14ac:dyDescent="0.3">
      <c r="A135" s="2">
        <f t="shared" si="5"/>
        <v>129</v>
      </c>
      <c r="B135" s="42">
        <f t="shared" si="3"/>
        <v>-667.35817856414872</v>
      </c>
      <c r="C135" s="39">
        <f t="shared" si="4"/>
        <v>39960.45118080917</v>
      </c>
    </row>
    <row r="136" spans="1:7" x14ac:dyDescent="0.3">
      <c r="A136" s="2">
        <f t="shared" si="5"/>
        <v>130</v>
      </c>
      <c r="B136" s="42">
        <f t="shared" ref="B136:B186" si="6">PPMT(0.00604,A136,180,100000,0)</f>
        <v>-671.38902196267622</v>
      </c>
      <c r="C136" s="39">
        <f t="shared" ref="C136:C186" si="7">+C135+B136</f>
        <v>39289.062158846493</v>
      </c>
    </row>
    <row r="137" spans="1:7" x14ac:dyDescent="0.3">
      <c r="A137" s="2">
        <f t="shared" ref="A137:A186" si="8">+A136+1</f>
        <v>131</v>
      </c>
      <c r="B137" s="42">
        <f t="shared" si="6"/>
        <v>-675.44421165533072</v>
      </c>
      <c r="C137" s="39">
        <f t="shared" si="7"/>
        <v>38613.61794719116</v>
      </c>
    </row>
    <row r="138" spans="1:7" x14ac:dyDescent="0.3">
      <c r="A138" s="2">
        <f t="shared" si="8"/>
        <v>132</v>
      </c>
      <c r="B138" s="42">
        <f t="shared" si="6"/>
        <v>-679.52389469372895</v>
      </c>
      <c r="C138" s="39">
        <f t="shared" si="7"/>
        <v>37934.094052497428</v>
      </c>
      <c r="D138" s="2">
        <f>+D126+1</f>
        <v>2035</v>
      </c>
      <c r="E138" s="40">
        <f>+C126-C138</f>
        <v>7890.344095655928</v>
      </c>
      <c r="F138" s="43">
        <f>SUM(B127:B138)</f>
        <v>-7890.3440956559334</v>
      </c>
      <c r="G138" s="43">
        <f>+E138+F138</f>
        <v>0</v>
      </c>
    </row>
    <row r="139" spans="1:7" x14ac:dyDescent="0.3">
      <c r="A139" s="2">
        <f t="shared" si="8"/>
        <v>133</v>
      </c>
      <c r="B139" s="42">
        <f t="shared" si="6"/>
        <v>-683.62821901767904</v>
      </c>
      <c r="C139" s="39">
        <f t="shared" si="7"/>
        <v>37250.46583347975</v>
      </c>
    </row>
    <row r="140" spans="1:7" x14ac:dyDescent="0.3">
      <c r="A140" s="2">
        <f t="shared" si="8"/>
        <v>134</v>
      </c>
      <c r="B140" s="42">
        <f t="shared" si="6"/>
        <v>-687.75733346054574</v>
      </c>
      <c r="C140" s="39">
        <f t="shared" si="7"/>
        <v>36562.708500019202</v>
      </c>
    </row>
    <row r="141" spans="1:7" x14ac:dyDescent="0.3">
      <c r="A141" s="2">
        <f t="shared" si="8"/>
        <v>135</v>
      </c>
      <c r="B141" s="42">
        <f t="shared" si="6"/>
        <v>-691.91138775464754</v>
      </c>
      <c r="C141" s="39">
        <f t="shared" si="7"/>
        <v>35870.797112264554</v>
      </c>
    </row>
    <row r="142" spans="1:7" x14ac:dyDescent="0.3">
      <c r="A142" s="2">
        <f t="shared" si="8"/>
        <v>136</v>
      </c>
      <c r="B142" s="42">
        <f t="shared" si="6"/>
        <v>-696.0905325366856</v>
      </c>
      <c r="C142" s="39">
        <f t="shared" si="7"/>
        <v>35174.70657972787</v>
      </c>
    </row>
    <row r="143" spans="1:7" x14ac:dyDescent="0.3">
      <c r="A143" s="2">
        <f t="shared" si="8"/>
        <v>137</v>
      </c>
      <c r="B143" s="42">
        <f t="shared" si="6"/>
        <v>-700.29491935320709</v>
      </c>
      <c r="C143" s="39">
        <f t="shared" si="7"/>
        <v>34474.411660374666</v>
      </c>
    </row>
    <row r="144" spans="1:7" x14ac:dyDescent="0.3">
      <c r="A144" s="2">
        <f t="shared" si="8"/>
        <v>138</v>
      </c>
      <c r="B144" s="42">
        <f t="shared" si="6"/>
        <v>-704.52470066610056</v>
      </c>
      <c r="C144" s="39">
        <f t="shared" si="7"/>
        <v>33769.886959708565</v>
      </c>
    </row>
    <row r="145" spans="1:7" x14ac:dyDescent="0.3">
      <c r="A145" s="2">
        <f t="shared" si="8"/>
        <v>139</v>
      </c>
      <c r="B145" s="42">
        <f t="shared" si="6"/>
        <v>-708.78002985812384</v>
      </c>
      <c r="C145" s="39">
        <f t="shared" si="7"/>
        <v>33061.106929850444</v>
      </c>
    </row>
    <row r="146" spans="1:7" x14ac:dyDescent="0.3">
      <c r="A146" s="2">
        <f t="shared" si="8"/>
        <v>140</v>
      </c>
      <c r="B146" s="42">
        <f t="shared" si="6"/>
        <v>-713.06106123846678</v>
      </c>
      <c r="C146" s="39">
        <f t="shared" si="7"/>
        <v>32348.045868611978</v>
      </c>
    </row>
    <row r="147" spans="1:7" x14ac:dyDescent="0.3">
      <c r="A147" s="2">
        <f t="shared" si="8"/>
        <v>141</v>
      </c>
      <c r="B147" s="42">
        <f t="shared" si="6"/>
        <v>-717.36795004834721</v>
      </c>
      <c r="C147" s="39">
        <f t="shared" si="7"/>
        <v>31630.67791856363</v>
      </c>
    </row>
    <row r="148" spans="1:7" x14ac:dyDescent="0.3">
      <c r="A148" s="2">
        <f t="shared" si="8"/>
        <v>142</v>
      </c>
      <c r="B148" s="42">
        <f t="shared" si="6"/>
        <v>-721.70085246663916</v>
      </c>
      <c r="C148" s="39">
        <f t="shared" si="7"/>
        <v>30908.977066096992</v>
      </c>
    </row>
    <row r="149" spans="1:7" x14ac:dyDescent="0.3">
      <c r="A149" s="2">
        <f t="shared" si="8"/>
        <v>143</v>
      </c>
      <c r="B149" s="42">
        <f t="shared" si="6"/>
        <v>-726.05992561553774</v>
      </c>
      <c r="C149" s="39">
        <f t="shared" si="7"/>
        <v>30182.917140481455</v>
      </c>
    </row>
    <row r="150" spans="1:7" x14ac:dyDescent="0.3">
      <c r="A150" s="2">
        <f t="shared" si="8"/>
        <v>144</v>
      </c>
      <c r="B150" s="42">
        <f t="shared" si="6"/>
        <v>-730.44532756625563</v>
      </c>
      <c r="C150" s="39">
        <f t="shared" si="7"/>
        <v>29452.471812915199</v>
      </c>
      <c r="D150" s="2">
        <f>+D138+1</f>
        <v>2036</v>
      </c>
      <c r="E150" s="40">
        <f>+C138-C150</f>
        <v>8481.6222395822297</v>
      </c>
      <c r="F150" s="43">
        <f>SUM(B139:B150)</f>
        <v>-8481.6222395822369</v>
      </c>
      <c r="G150" s="43">
        <f>+E150+F150</f>
        <v>0</v>
      </c>
    </row>
    <row r="151" spans="1:7" x14ac:dyDescent="0.3">
      <c r="A151" s="2">
        <f t="shared" si="8"/>
        <v>145</v>
      </c>
      <c r="B151" s="42">
        <f t="shared" si="6"/>
        <v>-734.85721734475578</v>
      </c>
      <c r="C151" s="39">
        <f t="shared" si="7"/>
        <v>28717.614595570441</v>
      </c>
    </row>
    <row r="152" spans="1:7" x14ac:dyDescent="0.3">
      <c r="A152" s="2">
        <f t="shared" si="8"/>
        <v>146</v>
      </c>
      <c r="B152" s="42">
        <f t="shared" si="6"/>
        <v>-739.29575493751815</v>
      </c>
      <c r="C152" s="39">
        <f t="shared" si="7"/>
        <v>27978.318840632925</v>
      </c>
    </row>
    <row r="153" spans="1:7" x14ac:dyDescent="0.3">
      <c r="A153" s="2">
        <f t="shared" si="8"/>
        <v>147</v>
      </c>
      <c r="B153" s="42">
        <f t="shared" si="6"/>
        <v>-743.7611012973407</v>
      </c>
      <c r="C153" s="39">
        <f t="shared" si="7"/>
        <v>27234.557739335585</v>
      </c>
    </row>
    <row r="154" spans="1:7" x14ac:dyDescent="0.3">
      <c r="A154" s="2">
        <f t="shared" si="8"/>
        <v>148</v>
      </c>
      <c r="B154" s="42">
        <f t="shared" si="6"/>
        <v>-748.25341834917663</v>
      </c>
      <c r="C154" s="39">
        <f t="shared" si="7"/>
        <v>26486.304320986408</v>
      </c>
    </row>
    <row r="155" spans="1:7" x14ac:dyDescent="0.3">
      <c r="A155" s="2">
        <f t="shared" si="8"/>
        <v>149</v>
      </c>
      <c r="B155" s="42">
        <f t="shared" si="6"/>
        <v>-752.77286899600563</v>
      </c>
      <c r="C155" s="39">
        <f t="shared" si="7"/>
        <v>25733.531451990402</v>
      </c>
    </row>
    <row r="156" spans="1:7" x14ac:dyDescent="0.3">
      <c r="A156" s="2">
        <f t="shared" si="8"/>
        <v>150</v>
      </c>
      <c r="B156" s="42">
        <f t="shared" si="6"/>
        <v>-757.31961712474151</v>
      </c>
      <c r="C156" s="39">
        <f t="shared" si="7"/>
        <v>24976.211834865662</v>
      </c>
    </row>
    <row r="157" spans="1:7" x14ac:dyDescent="0.3">
      <c r="A157" s="2">
        <f t="shared" si="8"/>
        <v>151</v>
      </c>
      <c r="B157" s="42">
        <f t="shared" si="6"/>
        <v>-761.89382761217496</v>
      </c>
      <c r="C157" s="39">
        <f t="shared" si="7"/>
        <v>24214.318007253489</v>
      </c>
    </row>
    <row r="158" spans="1:7" x14ac:dyDescent="0.3">
      <c r="A158" s="2">
        <f t="shared" si="8"/>
        <v>152</v>
      </c>
      <c r="B158" s="42">
        <f t="shared" si="6"/>
        <v>-766.49566633095253</v>
      </c>
      <c r="C158" s="39">
        <f t="shared" si="7"/>
        <v>23447.822340922536</v>
      </c>
    </row>
    <row r="159" spans="1:7" x14ac:dyDescent="0.3">
      <c r="A159" s="2">
        <f t="shared" si="8"/>
        <v>153</v>
      </c>
      <c r="B159" s="42">
        <f t="shared" si="6"/>
        <v>-771.1253001555915</v>
      </c>
      <c r="C159" s="39">
        <f t="shared" si="7"/>
        <v>22676.697040766943</v>
      </c>
    </row>
    <row r="160" spans="1:7" x14ac:dyDescent="0.3">
      <c r="A160" s="2">
        <f t="shared" si="8"/>
        <v>154</v>
      </c>
      <c r="B160" s="42">
        <f t="shared" si="6"/>
        <v>-775.7828969685313</v>
      </c>
      <c r="C160" s="39">
        <f t="shared" si="7"/>
        <v>21900.914143798411</v>
      </c>
    </row>
    <row r="161" spans="1:7" x14ac:dyDescent="0.3">
      <c r="A161" s="2">
        <f t="shared" si="8"/>
        <v>155</v>
      </c>
      <c r="B161" s="42">
        <f t="shared" si="6"/>
        <v>-780.46862566622121</v>
      </c>
      <c r="C161" s="39">
        <f t="shared" si="7"/>
        <v>21120.44551813219</v>
      </c>
    </row>
    <row r="162" spans="1:7" x14ac:dyDescent="0.3">
      <c r="A162" s="2">
        <f t="shared" si="8"/>
        <v>156</v>
      </c>
      <c r="B162" s="42">
        <f t="shared" si="6"/>
        <v>-785.18265616524513</v>
      </c>
      <c r="C162" s="39">
        <f t="shared" si="7"/>
        <v>20335.262861966945</v>
      </c>
      <c r="D162" s="2">
        <f>+D150+1</f>
        <v>2037</v>
      </c>
      <c r="E162" s="40">
        <f>+C150-C162</f>
        <v>9117.2089509482539</v>
      </c>
      <c r="F162" s="43">
        <f>SUM(B151:B162)</f>
        <v>-9117.2089509482557</v>
      </c>
      <c r="G162" s="43">
        <f>+E162+F162</f>
        <v>0</v>
      </c>
    </row>
    <row r="163" spans="1:7" x14ac:dyDescent="0.3">
      <c r="A163" s="2">
        <f t="shared" si="8"/>
        <v>157</v>
      </c>
      <c r="B163" s="42">
        <f t="shared" si="6"/>
        <v>-789.9251594084833</v>
      </c>
      <c r="C163" s="39">
        <f t="shared" si="7"/>
        <v>19545.337702558463</v>
      </c>
    </row>
    <row r="164" spans="1:7" x14ac:dyDescent="0.3">
      <c r="A164" s="2">
        <f t="shared" si="8"/>
        <v>158</v>
      </c>
      <c r="B164" s="42">
        <f t="shared" si="6"/>
        <v>-794.69630737131058</v>
      </c>
      <c r="C164" s="39">
        <f t="shared" si="7"/>
        <v>18750.641395187151</v>
      </c>
    </row>
    <row r="165" spans="1:7" x14ac:dyDescent="0.3">
      <c r="A165" s="2">
        <f t="shared" si="8"/>
        <v>159</v>
      </c>
      <c r="B165" s="42">
        <f t="shared" si="6"/>
        <v>-799.49627306783327</v>
      </c>
      <c r="C165" s="39">
        <f t="shared" si="7"/>
        <v>17951.145122119317</v>
      </c>
    </row>
    <row r="166" spans="1:7" x14ac:dyDescent="0.3">
      <c r="A166" s="2">
        <f t="shared" si="8"/>
        <v>160</v>
      </c>
      <c r="B166" s="42">
        <f t="shared" si="6"/>
        <v>-804.32523055716285</v>
      </c>
      <c r="C166" s="39">
        <f t="shared" si="7"/>
        <v>17146.819891562154</v>
      </c>
    </row>
    <row r="167" spans="1:7" x14ac:dyDescent="0.3">
      <c r="A167" s="2">
        <f t="shared" si="8"/>
        <v>161</v>
      </c>
      <c r="B167" s="42">
        <f t="shared" si="6"/>
        <v>-809.18335494972825</v>
      </c>
      <c r="C167" s="39">
        <f t="shared" si="7"/>
        <v>16337.636536612426</v>
      </c>
    </row>
    <row r="168" spans="1:7" x14ac:dyDescent="0.3">
      <c r="A168" s="2">
        <f t="shared" si="8"/>
        <v>162</v>
      </c>
      <c r="B168" s="42">
        <f t="shared" si="6"/>
        <v>-814.07082241362457</v>
      </c>
      <c r="C168" s="39">
        <f t="shared" si="7"/>
        <v>15523.565714198801</v>
      </c>
    </row>
    <row r="169" spans="1:7" x14ac:dyDescent="0.3">
      <c r="A169" s="2">
        <f t="shared" si="8"/>
        <v>163</v>
      </c>
      <c r="B169" s="42">
        <f t="shared" si="6"/>
        <v>-818.98781018100271</v>
      </c>
      <c r="C169" s="39">
        <f t="shared" si="7"/>
        <v>14704.577904017799</v>
      </c>
    </row>
    <row r="170" spans="1:7" x14ac:dyDescent="0.3">
      <c r="A170" s="2">
        <f t="shared" si="8"/>
        <v>164</v>
      </c>
      <c r="B170" s="42">
        <f t="shared" si="6"/>
        <v>-823.93449655449604</v>
      </c>
      <c r="C170" s="39">
        <f t="shared" si="7"/>
        <v>13880.643407463303</v>
      </c>
    </row>
    <row r="171" spans="1:7" x14ac:dyDescent="0.3">
      <c r="A171" s="2">
        <f t="shared" si="8"/>
        <v>165</v>
      </c>
      <c r="B171" s="42">
        <f t="shared" si="6"/>
        <v>-828.91106091368522</v>
      </c>
      <c r="C171" s="39">
        <f t="shared" si="7"/>
        <v>13051.732346549617</v>
      </c>
    </row>
    <row r="172" spans="1:7" x14ac:dyDescent="0.3">
      <c r="A172" s="2">
        <f t="shared" si="8"/>
        <v>166</v>
      </c>
      <c r="B172" s="42">
        <f t="shared" si="6"/>
        <v>-833.91768372160391</v>
      </c>
      <c r="C172" s="39">
        <f t="shared" si="7"/>
        <v>12217.814662828014</v>
      </c>
    </row>
    <row r="173" spans="1:7" x14ac:dyDescent="0.3">
      <c r="A173" s="2">
        <f t="shared" si="8"/>
        <v>167</v>
      </c>
      <c r="B173" s="42">
        <f t="shared" si="6"/>
        <v>-838.9545465312824</v>
      </c>
      <c r="C173" s="39">
        <f t="shared" si="7"/>
        <v>11378.860116296732</v>
      </c>
    </row>
    <row r="174" spans="1:7" x14ac:dyDescent="0.3">
      <c r="A174" s="2">
        <f t="shared" si="8"/>
        <v>168</v>
      </c>
      <c r="B174" s="42">
        <f t="shared" si="6"/>
        <v>-844.02183199233116</v>
      </c>
      <c r="C174" s="39">
        <f t="shared" si="7"/>
        <v>10534.8382843044</v>
      </c>
      <c r="D174" s="2">
        <f>+D162+1</f>
        <v>2038</v>
      </c>
      <c r="E174" s="40">
        <f>+C162-C174</f>
        <v>9800.4245776625448</v>
      </c>
      <c r="F174" s="43">
        <f>SUM(B163:B174)</f>
        <v>-9800.4245776625448</v>
      </c>
      <c r="G174" s="43">
        <f>+E174+F174</f>
        <v>0</v>
      </c>
    </row>
    <row r="175" spans="1:7" x14ac:dyDescent="0.3">
      <c r="A175" s="2">
        <f t="shared" si="8"/>
        <v>169</v>
      </c>
      <c r="B175" s="42">
        <f t="shared" si="6"/>
        <v>-849.11972385756496</v>
      </c>
      <c r="C175" s="39">
        <f t="shared" si="7"/>
        <v>9685.7185604468359</v>
      </c>
    </row>
    <row r="176" spans="1:7" x14ac:dyDescent="0.3">
      <c r="A176" s="2">
        <f t="shared" si="8"/>
        <v>170</v>
      </c>
      <c r="B176" s="42">
        <f t="shared" si="6"/>
        <v>-854.24840698966455</v>
      </c>
      <c r="C176" s="39">
        <f t="shared" si="7"/>
        <v>8831.4701534571723</v>
      </c>
    </row>
    <row r="177" spans="1:7" x14ac:dyDescent="0.3">
      <c r="A177" s="2">
        <f t="shared" si="8"/>
        <v>171</v>
      </c>
      <c r="B177" s="42">
        <f t="shared" si="6"/>
        <v>-859.40806736788227</v>
      </c>
      <c r="C177" s="39">
        <f t="shared" si="7"/>
        <v>7972.0620860892905</v>
      </c>
    </row>
    <row r="178" spans="1:7" x14ac:dyDescent="0.3">
      <c r="A178" s="2">
        <f t="shared" si="8"/>
        <v>172</v>
      </c>
      <c r="B178" s="42">
        <f t="shared" si="6"/>
        <v>-864.59889209478422</v>
      </c>
      <c r="C178" s="39">
        <f t="shared" si="7"/>
        <v>7107.4631939945066</v>
      </c>
    </row>
    <row r="179" spans="1:7" x14ac:dyDescent="0.3">
      <c r="A179" s="2">
        <f t="shared" si="8"/>
        <v>173</v>
      </c>
      <c r="B179" s="42">
        <f t="shared" si="6"/>
        <v>-869.82106940303686</v>
      </c>
      <c r="C179" s="39">
        <f t="shared" si="7"/>
        <v>6237.6421245914698</v>
      </c>
    </row>
    <row r="180" spans="1:7" x14ac:dyDescent="0.3">
      <c r="A180" s="2">
        <f t="shared" si="8"/>
        <v>174</v>
      </c>
      <c r="B180" s="42">
        <f t="shared" si="6"/>
        <v>-875.07478866223119</v>
      </c>
      <c r="C180" s="39">
        <f t="shared" si="7"/>
        <v>5362.5673359292387</v>
      </c>
    </row>
    <row r="181" spans="1:7" x14ac:dyDescent="0.3">
      <c r="A181" s="2">
        <f t="shared" si="8"/>
        <v>175</v>
      </c>
      <c r="B181" s="42">
        <f t="shared" si="6"/>
        <v>-880.36024038575101</v>
      </c>
      <c r="C181" s="39">
        <f t="shared" si="7"/>
        <v>4482.2070955434874</v>
      </c>
    </row>
    <row r="182" spans="1:7" x14ac:dyDescent="0.3">
      <c r="A182" s="2">
        <f t="shared" si="8"/>
        <v>176</v>
      </c>
      <c r="B182" s="42">
        <f t="shared" si="6"/>
        <v>-885.67761623768092</v>
      </c>
      <c r="C182" s="39">
        <f t="shared" si="7"/>
        <v>3596.5294793058065</v>
      </c>
    </row>
    <row r="183" spans="1:7" x14ac:dyDescent="0.3">
      <c r="A183" s="2">
        <f t="shared" si="8"/>
        <v>177</v>
      </c>
      <c r="B183" s="42">
        <f t="shared" si="6"/>
        <v>-891.02710903975662</v>
      </c>
      <c r="C183" s="39">
        <f t="shared" si="7"/>
        <v>2705.5023702660501</v>
      </c>
    </row>
    <row r="184" spans="1:7" x14ac:dyDescent="0.3">
      <c r="A184" s="2">
        <f t="shared" si="8"/>
        <v>178</v>
      </c>
      <c r="B184" s="42">
        <f t="shared" si="6"/>
        <v>-896.40891277835658</v>
      </c>
      <c r="C184" s="39">
        <f t="shared" si="7"/>
        <v>1809.0934574876935</v>
      </c>
    </row>
    <row r="185" spans="1:7" x14ac:dyDescent="0.3">
      <c r="A185" s="2">
        <f t="shared" si="8"/>
        <v>179</v>
      </c>
      <c r="B185" s="42">
        <f t="shared" si="6"/>
        <v>-901.82322261153797</v>
      </c>
      <c r="C185" s="39">
        <f t="shared" si="7"/>
        <v>907.27023487615554</v>
      </c>
    </row>
    <row r="186" spans="1:7" x14ac:dyDescent="0.3">
      <c r="A186" s="2">
        <f t="shared" si="8"/>
        <v>180</v>
      </c>
      <c r="B186" s="42">
        <f t="shared" si="6"/>
        <v>-907.27023487611166</v>
      </c>
      <c r="C186" s="39">
        <f t="shared" si="7"/>
        <v>4.3883119360543787E-11</v>
      </c>
      <c r="D186" s="2">
        <f>+D174+1</f>
        <v>2039</v>
      </c>
      <c r="E186" s="40">
        <f>+C174-C186</f>
        <v>10534.838284304356</v>
      </c>
      <c r="F186" s="43">
        <f>SUM(B175:B186)</f>
        <v>-10534.83828430436</v>
      </c>
      <c r="G186" s="43">
        <f>+E186+F186</f>
        <v>0</v>
      </c>
    </row>
    <row r="187" spans="1:7" x14ac:dyDescent="0.3">
      <c r="B187" s="42">
        <f>SUM(B7:B186)</f>
        <v>-99999.999999999985</v>
      </c>
      <c r="C187" s="43"/>
    </row>
    <row r="188" spans="1:7" x14ac:dyDescent="0.3">
      <c r="B188" s="43"/>
      <c r="C188" s="43"/>
      <c r="E188" s="39">
        <f>SUM(E3:E187)</f>
        <v>35704.973522942557</v>
      </c>
      <c r="F188" s="39">
        <f>SUM(F3:F187)</f>
        <v>-100000.00000000001</v>
      </c>
    </row>
    <row r="189" spans="1:7" x14ac:dyDescent="0.3">
      <c r="B189" s="43"/>
      <c r="C189" s="43"/>
    </row>
    <row r="190" spans="1:7" x14ac:dyDescent="0.3">
      <c r="B190" s="43"/>
      <c r="C190" s="43"/>
    </row>
    <row r="191" spans="1:7" x14ac:dyDescent="0.3">
      <c r="B191" s="43"/>
      <c r="C191" s="43"/>
    </row>
    <row r="192" spans="1:7" x14ac:dyDescent="0.3">
      <c r="B192" s="43"/>
      <c r="C192" s="43"/>
    </row>
    <row r="193" spans="2:5" x14ac:dyDescent="0.3">
      <c r="B193" s="43"/>
      <c r="C193" s="43"/>
    </row>
    <row r="194" spans="2:5" x14ac:dyDescent="0.3">
      <c r="B194" s="43"/>
      <c r="C194" s="43"/>
    </row>
    <row r="195" spans="2:5" x14ac:dyDescent="0.3">
      <c r="B195" s="43"/>
      <c r="C195" s="43"/>
    </row>
    <row r="196" spans="2:5" x14ac:dyDescent="0.3">
      <c r="B196" s="43"/>
      <c r="C196" s="43"/>
    </row>
    <row r="197" spans="2:5" x14ac:dyDescent="0.3">
      <c r="B197" s="43"/>
      <c r="C197" s="43"/>
    </row>
    <row r="198" spans="2:5" x14ac:dyDescent="0.3">
      <c r="B198" s="43"/>
      <c r="C198" s="43"/>
      <c r="E198" s="43"/>
    </row>
    <row r="199" spans="2:5" x14ac:dyDescent="0.3">
      <c r="B199" s="43"/>
      <c r="C199" s="43"/>
    </row>
    <row r="200" spans="2:5" x14ac:dyDescent="0.3">
      <c r="B200" s="43"/>
      <c r="C200" s="43"/>
    </row>
    <row r="201" spans="2:5" x14ac:dyDescent="0.3">
      <c r="B201" s="43"/>
      <c r="C201" s="43"/>
    </row>
    <row r="202" spans="2:5" x14ac:dyDescent="0.3">
      <c r="B202" s="43"/>
      <c r="C202" s="43"/>
    </row>
    <row r="203" spans="2:5" x14ac:dyDescent="0.3">
      <c r="B203" s="43"/>
      <c r="C203" s="43"/>
    </row>
    <row r="204" spans="2:5" x14ac:dyDescent="0.3">
      <c r="B204" s="43"/>
      <c r="C204" s="43"/>
    </row>
    <row r="205" spans="2:5" x14ac:dyDescent="0.3">
      <c r="B205" s="43"/>
      <c r="C205" s="43"/>
    </row>
    <row r="206" spans="2:5" x14ac:dyDescent="0.3">
      <c r="B206" s="43"/>
      <c r="C206" s="43"/>
    </row>
    <row r="207" spans="2:5" x14ac:dyDescent="0.3">
      <c r="B207" s="43"/>
      <c r="C207" s="43"/>
    </row>
    <row r="208" spans="2:5" x14ac:dyDescent="0.3">
      <c r="B208" s="43"/>
      <c r="C208" s="43"/>
    </row>
    <row r="209" spans="2:5" x14ac:dyDescent="0.3">
      <c r="B209" s="43"/>
      <c r="C209" s="43"/>
    </row>
    <row r="210" spans="2:5" x14ac:dyDescent="0.3">
      <c r="B210" s="43"/>
      <c r="C210" s="43"/>
      <c r="E210" s="43"/>
    </row>
    <row r="211" spans="2:5" x14ac:dyDescent="0.3">
      <c r="B211" s="43"/>
      <c r="C211" s="43"/>
    </row>
    <row r="212" spans="2:5" x14ac:dyDescent="0.3">
      <c r="B212" s="43"/>
      <c r="C212" s="43"/>
    </row>
    <row r="213" spans="2:5" x14ac:dyDescent="0.3">
      <c r="B213" s="43"/>
      <c r="C213" s="43"/>
    </row>
    <row r="214" spans="2:5" x14ac:dyDescent="0.3">
      <c r="B214" s="43"/>
      <c r="C214" s="43"/>
    </row>
    <row r="215" spans="2:5" x14ac:dyDescent="0.3">
      <c r="B215" s="43"/>
      <c r="C215" s="43"/>
    </row>
    <row r="216" spans="2:5" x14ac:dyDescent="0.3">
      <c r="B216" s="43"/>
      <c r="C216" s="43"/>
    </row>
    <row r="217" spans="2:5" x14ac:dyDescent="0.3">
      <c r="B217" s="43"/>
      <c r="C217" s="43"/>
    </row>
    <row r="218" spans="2:5" x14ac:dyDescent="0.3">
      <c r="B218" s="43"/>
      <c r="C218" s="43"/>
    </row>
    <row r="219" spans="2:5" x14ac:dyDescent="0.3">
      <c r="B219" s="43"/>
      <c r="C219" s="43"/>
    </row>
    <row r="220" spans="2:5" x14ac:dyDescent="0.3">
      <c r="B220" s="43"/>
      <c r="C220" s="43"/>
    </row>
    <row r="221" spans="2:5" x14ac:dyDescent="0.3">
      <c r="B221" s="43"/>
      <c r="C221" s="43"/>
    </row>
    <row r="222" spans="2:5" x14ac:dyDescent="0.3">
      <c r="B222" s="43"/>
      <c r="C222" s="43"/>
      <c r="E222" s="43"/>
    </row>
    <row r="223" spans="2:5" x14ac:dyDescent="0.3">
      <c r="B223" s="43"/>
      <c r="C223" s="43"/>
    </row>
    <row r="224" spans="2:5" x14ac:dyDescent="0.3">
      <c r="B224" s="43"/>
      <c r="C224" s="43"/>
    </row>
    <row r="225" spans="2:5" x14ac:dyDescent="0.3">
      <c r="B225" s="43"/>
      <c r="C225" s="43"/>
    </row>
    <row r="226" spans="2:5" x14ac:dyDescent="0.3">
      <c r="B226" s="43"/>
      <c r="C226" s="43"/>
    </row>
    <row r="227" spans="2:5" x14ac:dyDescent="0.3">
      <c r="B227" s="43"/>
      <c r="C227" s="43"/>
    </row>
    <row r="228" spans="2:5" x14ac:dyDescent="0.3">
      <c r="B228" s="43"/>
      <c r="C228" s="43"/>
    </row>
    <row r="229" spans="2:5" x14ac:dyDescent="0.3">
      <c r="B229" s="43"/>
      <c r="C229" s="43"/>
    </row>
    <row r="230" spans="2:5" x14ac:dyDescent="0.3">
      <c r="B230" s="43"/>
      <c r="C230" s="43"/>
    </row>
    <row r="231" spans="2:5" x14ac:dyDescent="0.3">
      <c r="B231" s="43"/>
      <c r="C231" s="43"/>
    </row>
    <row r="232" spans="2:5" x14ac:dyDescent="0.3">
      <c r="B232" s="43"/>
      <c r="C232" s="43"/>
    </row>
    <row r="233" spans="2:5" x14ac:dyDescent="0.3">
      <c r="B233" s="43"/>
      <c r="C233" s="43"/>
    </row>
    <row r="234" spans="2:5" x14ac:dyDescent="0.3">
      <c r="B234" s="43"/>
      <c r="C234" s="43"/>
      <c r="E234" s="43"/>
    </row>
    <row r="235" spans="2:5" x14ac:dyDescent="0.3">
      <c r="B235" s="43"/>
      <c r="C235" s="43"/>
    </row>
    <row r="236" spans="2:5" x14ac:dyDescent="0.3">
      <c r="B236" s="43"/>
      <c r="C236" s="43"/>
    </row>
    <row r="237" spans="2:5" x14ac:dyDescent="0.3">
      <c r="B237" s="43"/>
      <c r="C237" s="43"/>
    </row>
    <row r="238" spans="2:5" x14ac:dyDescent="0.3">
      <c r="B238" s="43"/>
      <c r="C238" s="43"/>
    </row>
    <row r="239" spans="2:5" x14ac:dyDescent="0.3">
      <c r="B239" s="43"/>
      <c r="C239" s="43"/>
    </row>
    <row r="240" spans="2:5" x14ac:dyDescent="0.3">
      <c r="B240" s="43"/>
      <c r="C240" s="43"/>
    </row>
    <row r="241" spans="2:5" x14ac:dyDescent="0.3">
      <c r="B241" s="43"/>
      <c r="C241" s="43"/>
    </row>
    <row r="242" spans="2:5" x14ac:dyDescent="0.3">
      <c r="B242" s="43"/>
      <c r="C242" s="43"/>
    </row>
    <row r="243" spans="2:5" x14ac:dyDescent="0.3">
      <c r="B243" s="43"/>
      <c r="C243" s="43"/>
    </row>
    <row r="244" spans="2:5" x14ac:dyDescent="0.3">
      <c r="B244" s="43"/>
      <c r="C244" s="43"/>
    </row>
    <row r="245" spans="2:5" x14ac:dyDescent="0.3">
      <c r="B245" s="43"/>
      <c r="C245" s="43"/>
    </row>
    <row r="246" spans="2:5" x14ac:dyDescent="0.3">
      <c r="B246" s="43"/>
      <c r="C246" s="43"/>
      <c r="E246" s="43"/>
    </row>
    <row r="247" spans="2:5" x14ac:dyDescent="0.3">
      <c r="B247" s="43"/>
      <c r="C247" s="43"/>
    </row>
    <row r="248" spans="2:5" x14ac:dyDescent="0.3">
      <c r="B248" s="43"/>
      <c r="C248" s="43"/>
    </row>
    <row r="249" spans="2:5" x14ac:dyDescent="0.3">
      <c r="B249" s="43"/>
      <c r="C249" s="43"/>
    </row>
    <row r="250" spans="2:5" x14ac:dyDescent="0.3">
      <c r="B250" s="43"/>
      <c r="C250" s="43"/>
    </row>
    <row r="251" spans="2:5" x14ac:dyDescent="0.3">
      <c r="B251" s="43"/>
      <c r="C251" s="43"/>
    </row>
    <row r="252" spans="2:5" x14ac:dyDescent="0.3">
      <c r="B252" s="43"/>
      <c r="C252" s="43"/>
    </row>
    <row r="253" spans="2:5" x14ac:dyDescent="0.3">
      <c r="B253" s="43"/>
      <c r="C253" s="43"/>
    </row>
    <row r="254" spans="2:5" x14ac:dyDescent="0.3">
      <c r="B254" s="43"/>
      <c r="C254" s="43"/>
    </row>
    <row r="255" spans="2:5" x14ac:dyDescent="0.3">
      <c r="B255" s="43"/>
      <c r="C255" s="43"/>
    </row>
    <row r="256" spans="2:5" x14ac:dyDescent="0.3">
      <c r="B256" s="43"/>
      <c r="C256" s="43"/>
    </row>
    <row r="257" spans="2:5" x14ac:dyDescent="0.3">
      <c r="B257" s="43"/>
      <c r="C257" s="43"/>
    </row>
    <row r="258" spans="2:5" x14ac:dyDescent="0.3">
      <c r="B258" s="43"/>
      <c r="C258" s="43"/>
      <c r="E258" s="43"/>
    </row>
    <row r="259" spans="2:5" x14ac:dyDescent="0.3">
      <c r="B259" s="43"/>
      <c r="C259" s="43"/>
    </row>
    <row r="260" spans="2:5" x14ac:dyDescent="0.3">
      <c r="B260" s="43"/>
      <c r="C260" s="43"/>
    </row>
    <row r="261" spans="2:5" x14ac:dyDescent="0.3">
      <c r="B261" s="43"/>
      <c r="C261" s="43"/>
    </row>
    <row r="262" spans="2:5" x14ac:dyDescent="0.3">
      <c r="B262" s="43"/>
      <c r="C262" s="43"/>
    </row>
    <row r="263" spans="2:5" x14ac:dyDescent="0.3">
      <c r="B263" s="43"/>
      <c r="C263" s="43"/>
    </row>
    <row r="264" spans="2:5" x14ac:dyDescent="0.3">
      <c r="B264" s="43"/>
      <c r="C264" s="43"/>
    </row>
    <row r="265" spans="2:5" x14ac:dyDescent="0.3">
      <c r="B265" s="43"/>
      <c r="C265" s="43"/>
    </row>
    <row r="266" spans="2:5" x14ac:dyDescent="0.3">
      <c r="B266" s="43"/>
      <c r="C266" s="43"/>
    </row>
    <row r="267" spans="2:5" x14ac:dyDescent="0.3">
      <c r="B267" s="43"/>
      <c r="C267" s="43"/>
    </row>
    <row r="268" spans="2:5" x14ac:dyDescent="0.3">
      <c r="B268" s="43"/>
      <c r="C268" s="43"/>
    </row>
    <row r="269" spans="2:5" x14ac:dyDescent="0.3">
      <c r="B269" s="43"/>
      <c r="C269" s="43"/>
    </row>
    <row r="270" spans="2:5" x14ac:dyDescent="0.3">
      <c r="B270" s="43"/>
      <c r="C270" s="43"/>
      <c r="E270" s="43"/>
    </row>
    <row r="271" spans="2:5" x14ac:dyDescent="0.3">
      <c r="B271" s="43"/>
      <c r="C271" s="43"/>
    </row>
    <row r="272" spans="2:5" x14ac:dyDescent="0.3">
      <c r="B272" s="43"/>
      <c r="C272" s="43"/>
    </row>
    <row r="273" spans="2:5" x14ac:dyDescent="0.3">
      <c r="B273" s="43"/>
      <c r="C273" s="43"/>
    </row>
    <row r="274" spans="2:5" x14ac:dyDescent="0.3">
      <c r="B274" s="43"/>
      <c r="C274" s="43"/>
    </row>
    <row r="275" spans="2:5" x14ac:dyDescent="0.3">
      <c r="B275" s="43"/>
      <c r="C275" s="43"/>
    </row>
    <row r="276" spans="2:5" x14ac:dyDescent="0.3">
      <c r="B276" s="43"/>
      <c r="C276" s="43"/>
    </row>
    <row r="277" spans="2:5" x14ac:dyDescent="0.3">
      <c r="B277" s="43"/>
      <c r="C277" s="43"/>
    </row>
    <row r="278" spans="2:5" x14ac:dyDescent="0.3">
      <c r="B278" s="43"/>
      <c r="C278" s="43"/>
    </row>
    <row r="279" spans="2:5" x14ac:dyDescent="0.3">
      <c r="B279" s="43"/>
      <c r="C279" s="43"/>
    </row>
    <row r="280" spans="2:5" x14ac:dyDescent="0.3">
      <c r="B280" s="43"/>
      <c r="C280" s="43"/>
    </row>
    <row r="281" spans="2:5" x14ac:dyDescent="0.3">
      <c r="B281" s="43"/>
      <c r="C281" s="43"/>
    </row>
    <row r="282" spans="2:5" x14ac:dyDescent="0.3">
      <c r="B282" s="43"/>
      <c r="C282" s="43"/>
      <c r="E282" s="43"/>
    </row>
    <row r="283" spans="2:5" x14ac:dyDescent="0.3">
      <c r="B283" s="43"/>
      <c r="C283" s="43"/>
    </row>
    <row r="284" spans="2:5" x14ac:dyDescent="0.3">
      <c r="B284" s="43"/>
      <c r="C284" s="43"/>
    </row>
    <row r="285" spans="2:5" x14ac:dyDescent="0.3">
      <c r="B285" s="43"/>
      <c r="C285" s="43"/>
    </row>
    <row r="286" spans="2:5" x14ac:dyDescent="0.3">
      <c r="B286" s="43"/>
      <c r="C286" s="43"/>
    </row>
    <row r="287" spans="2:5" x14ac:dyDescent="0.3">
      <c r="B287" s="43"/>
      <c r="C287" s="43"/>
    </row>
    <row r="288" spans="2:5" x14ac:dyDescent="0.3">
      <c r="B288" s="43"/>
      <c r="C288" s="43"/>
    </row>
    <row r="289" spans="2:5" x14ac:dyDescent="0.3">
      <c r="B289" s="43"/>
      <c r="C289" s="43"/>
    </row>
    <row r="290" spans="2:5" x14ac:dyDescent="0.3">
      <c r="B290" s="43"/>
      <c r="C290" s="43"/>
    </row>
    <row r="291" spans="2:5" x14ac:dyDescent="0.3">
      <c r="B291" s="43"/>
      <c r="C291" s="43"/>
    </row>
    <row r="292" spans="2:5" x14ac:dyDescent="0.3">
      <c r="B292" s="43"/>
      <c r="C292" s="43"/>
    </row>
    <row r="293" spans="2:5" x14ac:dyDescent="0.3">
      <c r="B293" s="43"/>
      <c r="C293" s="43"/>
    </row>
    <row r="294" spans="2:5" x14ac:dyDescent="0.3">
      <c r="B294" s="43"/>
      <c r="C294" s="43"/>
      <c r="E294" s="43"/>
    </row>
    <row r="295" spans="2:5" x14ac:dyDescent="0.3">
      <c r="B295" s="43"/>
      <c r="C295" s="43"/>
    </row>
    <row r="296" spans="2:5" x14ac:dyDescent="0.3">
      <c r="B296" s="43"/>
      <c r="C296" s="43"/>
    </row>
    <row r="297" spans="2:5" x14ac:dyDescent="0.3">
      <c r="B297" s="43"/>
      <c r="C297" s="43"/>
    </row>
    <row r="298" spans="2:5" x14ac:dyDescent="0.3">
      <c r="B298" s="43"/>
      <c r="C298" s="43"/>
    </row>
    <row r="299" spans="2:5" x14ac:dyDescent="0.3">
      <c r="B299" s="43"/>
      <c r="C299" s="43"/>
    </row>
    <row r="300" spans="2:5" x14ac:dyDescent="0.3">
      <c r="B300" s="43"/>
      <c r="C300" s="43"/>
    </row>
    <row r="301" spans="2:5" x14ac:dyDescent="0.3">
      <c r="B301" s="43"/>
      <c r="C301" s="43"/>
    </row>
    <row r="302" spans="2:5" x14ac:dyDescent="0.3">
      <c r="B302" s="43"/>
      <c r="C302" s="43"/>
    </row>
    <row r="303" spans="2:5" x14ac:dyDescent="0.3">
      <c r="B303" s="43"/>
      <c r="C303" s="43"/>
    </row>
    <row r="304" spans="2:5" x14ac:dyDescent="0.3">
      <c r="B304" s="43"/>
      <c r="C304" s="43"/>
    </row>
    <row r="305" spans="2:5" x14ac:dyDescent="0.3">
      <c r="B305" s="43"/>
      <c r="C305" s="43"/>
    </row>
    <row r="306" spans="2:5" x14ac:dyDescent="0.3">
      <c r="B306" s="43"/>
      <c r="C306" s="43"/>
      <c r="E306" s="43"/>
    </row>
    <row r="307" spans="2:5" x14ac:dyDescent="0.3">
      <c r="B307" s="43"/>
      <c r="C307" s="43"/>
    </row>
    <row r="308" spans="2:5" x14ac:dyDescent="0.3">
      <c r="B308" s="43"/>
      <c r="C308" s="43"/>
    </row>
    <row r="309" spans="2:5" x14ac:dyDescent="0.3">
      <c r="B309" s="43"/>
      <c r="C309" s="43"/>
    </row>
    <row r="310" spans="2:5" x14ac:dyDescent="0.3">
      <c r="B310" s="43"/>
      <c r="C310" s="43"/>
    </row>
    <row r="311" spans="2:5" x14ac:dyDescent="0.3">
      <c r="B311" s="43"/>
      <c r="C311" s="43"/>
    </row>
    <row r="312" spans="2:5" x14ac:dyDescent="0.3">
      <c r="B312" s="43"/>
      <c r="C312" s="43"/>
    </row>
    <row r="313" spans="2:5" x14ac:dyDescent="0.3">
      <c r="B313" s="43"/>
      <c r="C313" s="43"/>
    </row>
    <row r="314" spans="2:5" x14ac:dyDescent="0.3">
      <c r="B314" s="43"/>
      <c r="C314" s="43"/>
    </row>
    <row r="315" spans="2:5" x14ac:dyDescent="0.3">
      <c r="B315" s="43"/>
      <c r="C315" s="43"/>
    </row>
    <row r="316" spans="2:5" x14ac:dyDescent="0.3">
      <c r="B316" s="43"/>
      <c r="C316" s="43"/>
    </row>
    <row r="317" spans="2:5" x14ac:dyDescent="0.3">
      <c r="B317" s="43"/>
      <c r="C317" s="43"/>
    </row>
    <row r="318" spans="2:5" x14ac:dyDescent="0.3">
      <c r="B318" s="43"/>
      <c r="C318" s="43"/>
      <c r="E318" s="43"/>
    </row>
    <row r="319" spans="2:5" x14ac:dyDescent="0.3">
      <c r="B319" s="43"/>
      <c r="C319" s="43"/>
    </row>
    <row r="320" spans="2:5" x14ac:dyDescent="0.3">
      <c r="B320" s="43"/>
      <c r="C320" s="43"/>
    </row>
    <row r="321" spans="2:5" x14ac:dyDescent="0.3">
      <c r="B321" s="43"/>
      <c r="C321" s="43"/>
    </row>
    <row r="322" spans="2:5" x14ac:dyDescent="0.3">
      <c r="B322" s="43"/>
      <c r="C322" s="43"/>
    </row>
    <row r="323" spans="2:5" x14ac:dyDescent="0.3">
      <c r="B323" s="43"/>
      <c r="C323" s="43"/>
    </row>
    <row r="324" spans="2:5" x14ac:dyDescent="0.3">
      <c r="B324" s="43"/>
      <c r="C324" s="43"/>
    </row>
    <row r="325" spans="2:5" x14ac:dyDescent="0.3">
      <c r="B325" s="43"/>
      <c r="C325" s="43"/>
    </row>
    <row r="326" spans="2:5" x14ac:dyDescent="0.3">
      <c r="B326" s="43"/>
      <c r="C326" s="43"/>
    </row>
    <row r="327" spans="2:5" x14ac:dyDescent="0.3">
      <c r="B327" s="43"/>
      <c r="C327" s="43"/>
    </row>
    <row r="328" spans="2:5" x14ac:dyDescent="0.3">
      <c r="B328" s="43"/>
      <c r="C328" s="43"/>
    </row>
    <row r="329" spans="2:5" x14ac:dyDescent="0.3">
      <c r="B329" s="43"/>
      <c r="C329" s="43"/>
    </row>
    <row r="330" spans="2:5" x14ac:dyDescent="0.3">
      <c r="B330" s="43"/>
      <c r="C330" s="43"/>
      <c r="E330" s="43"/>
    </row>
    <row r="331" spans="2:5" x14ac:dyDescent="0.3">
      <c r="B331" s="43"/>
      <c r="C331" s="43"/>
    </row>
    <row r="332" spans="2:5" x14ac:dyDescent="0.3">
      <c r="B332" s="43"/>
      <c r="C332" s="43"/>
    </row>
    <row r="333" spans="2:5" x14ac:dyDescent="0.3">
      <c r="B333" s="43"/>
      <c r="C333" s="43"/>
    </row>
    <row r="334" spans="2:5" x14ac:dyDescent="0.3">
      <c r="B334" s="43"/>
      <c r="C334" s="43"/>
    </row>
    <row r="335" spans="2:5" x14ac:dyDescent="0.3">
      <c r="B335" s="43"/>
      <c r="C335" s="43"/>
    </row>
    <row r="336" spans="2:5" x14ac:dyDescent="0.3">
      <c r="B336" s="43"/>
      <c r="C336" s="43"/>
    </row>
    <row r="337" spans="2:3" x14ac:dyDescent="0.3">
      <c r="B337" s="43"/>
      <c r="C337" s="43"/>
    </row>
    <row r="338" spans="2:3" x14ac:dyDescent="0.3">
      <c r="B338" s="43"/>
      <c r="C338" s="43"/>
    </row>
    <row r="339" spans="2:3" x14ac:dyDescent="0.3">
      <c r="B339" s="43"/>
      <c r="C339" s="43"/>
    </row>
    <row r="340" spans="2:3" x14ac:dyDescent="0.3">
      <c r="B340" s="43"/>
      <c r="C340" s="43"/>
    </row>
    <row r="341" spans="2:3" x14ac:dyDescent="0.3">
      <c r="B341" s="43"/>
      <c r="C341" s="43"/>
    </row>
    <row r="342" spans="2:3" x14ac:dyDescent="0.3">
      <c r="B342" s="43"/>
      <c r="C342" s="43"/>
    </row>
    <row r="343" spans="2:3" x14ac:dyDescent="0.3">
      <c r="C343" s="43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 Project</vt:lpstr>
      <vt:lpstr>Mortgage</vt:lpstr>
      <vt:lpstr>'Financial Project'!Print_Area</vt:lpstr>
    </vt:vector>
  </TitlesOfParts>
  <Company>                       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   </dc:creator>
  <cp:lastModifiedBy>claud kidiga</cp:lastModifiedBy>
  <cp:lastPrinted>2001-02-24T15:41:35Z</cp:lastPrinted>
  <dcterms:created xsi:type="dcterms:W3CDTF">2001-01-20T21:05:13Z</dcterms:created>
  <dcterms:modified xsi:type="dcterms:W3CDTF">2024-12-12T10:30:41Z</dcterms:modified>
</cp:coreProperties>
</file>